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713c9bc31594f98/Desktop/"/>
    </mc:Choice>
  </mc:AlternateContent>
  <xr:revisionPtr revIDLastSave="0" documentId="8_{7AD857CD-12B0-4470-82C1-C5BCE1E23E0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Q" sheetId="3" r:id="rId1"/>
    <sheet name="Summary" sheetId="5" r:id="rId2"/>
  </sheets>
  <definedNames>
    <definedName name="_xlnm._FilterDatabase" localSheetId="1" hidden="1">Summary!$B$4:$I$4</definedName>
    <definedName name="A">#REF!</definedName>
    <definedName name="AAAA">#REF!</definedName>
    <definedName name="Ass">#REF!</definedName>
    <definedName name="ATCS">#REF!</definedName>
    <definedName name="ATpop">#REF!</definedName>
    <definedName name="ATpos">#REF!</definedName>
    <definedName name="b">#REF!</definedName>
    <definedName name="bdfv">#REF!</definedName>
    <definedName name="Capacity_relief_for_all">#REF!</definedName>
    <definedName name="env_class">#REF!</definedName>
    <definedName name="export">#REF!</definedName>
    <definedName name="FORPI">#REF!</definedName>
    <definedName name="hgt">#REF!</definedName>
    <definedName name="HTA">#REF!</definedName>
    <definedName name="HTA_1">#REF!</definedName>
    <definedName name="HTA_2">#REF!</definedName>
    <definedName name="HTT">#REF!</definedName>
    <definedName name="HTTT">#REF!</definedName>
    <definedName name="import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41458.7513657407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popBuff">#REF!</definedName>
    <definedName name="ReportingPeriod">#REF!</definedName>
    <definedName name="ReportingYear">#REF!</definedName>
    <definedName name="SmartPos">#REF!</definedName>
    <definedName name="SmiPos">#REF!</definedName>
    <definedName name="Staff_levels">#REF!</definedName>
    <definedName name="StructureType">#REF!</definedName>
    <definedName name="Summ">#REF!</definedName>
    <definedName name="tigoCS">#REF!</definedName>
    <definedName name="TigoPop">#REF!</definedName>
    <definedName name="TigoPos">#REF!</definedName>
    <definedName name="Time_Scale">#REF!</definedName>
    <definedName name="uniqClass">#REF!</definedName>
    <definedName name="VietCS">#REF!</definedName>
    <definedName name="VietPop">#REF!</definedName>
    <definedName name="VietPos">#REF!</definedName>
    <definedName name="VodCS">#REF!</definedName>
    <definedName name="VodPop">#REF!</definedName>
    <definedName name="VodPos">#REF!</definedName>
    <definedName name="ZanPop">#REF!</definedName>
    <definedName name="zantCS">#REF!</definedName>
    <definedName name="Zant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18" i="3" l="1"/>
  <c r="E20" i="5"/>
  <c r="D20" i="5"/>
  <c r="E19" i="5"/>
  <c r="D19" i="5"/>
  <c r="E18" i="5"/>
  <c r="D18" i="5"/>
  <c r="E17" i="5"/>
  <c r="D17" i="5"/>
  <c r="BB35" i="3"/>
  <c r="BB34" i="3"/>
  <c r="BB36" i="3" s="1"/>
  <c r="BB43" i="3" s="1"/>
  <c r="H20" i="5" s="1"/>
  <c r="BB32" i="3"/>
  <c r="BB28" i="3"/>
  <c r="BB27" i="3"/>
  <c r="BB26" i="3"/>
  <c r="BB25" i="3"/>
  <c r="BB24" i="3"/>
  <c r="BB23" i="3"/>
  <c r="BB20" i="3"/>
  <c r="BB19" i="3"/>
  <c r="BB18" i="3"/>
  <c r="BB16" i="3"/>
  <c r="BB15" i="3"/>
  <c r="BB14" i="3"/>
  <c r="BB12" i="3"/>
  <c r="BB11" i="3" s="1"/>
  <c r="BA18" i="3"/>
  <c r="BA17" i="3"/>
  <c r="BB17" i="3" s="1"/>
  <c r="BA13" i="3"/>
  <c r="BB13" i="3" s="1"/>
  <c r="AY35" i="3" l="1"/>
  <c r="AY34" i="3"/>
  <c r="AY36" i="3" s="1"/>
  <c r="AY43" i="3" s="1"/>
  <c r="H19" i="5" s="1"/>
  <c r="AY32" i="3"/>
  <c r="AY28" i="3"/>
  <c r="AY27" i="3" s="1"/>
  <c r="AY26" i="3"/>
  <c r="AY25" i="3"/>
  <c r="AY24" i="3"/>
  <c r="AY23" i="3"/>
  <c r="AY20" i="3"/>
  <c r="AY19" i="3"/>
  <c r="AY17" i="3"/>
  <c r="AY14" i="3"/>
  <c r="AX18" i="3"/>
  <c r="AY18" i="3" s="1"/>
  <c r="AX15" i="3"/>
  <c r="AX16" i="3" s="1"/>
  <c r="AY16" i="3" s="1"/>
  <c r="AX12" i="3"/>
  <c r="AY12" i="3" s="1"/>
  <c r="AY15" i="3" l="1"/>
  <c r="AX13" i="3"/>
  <c r="AY13" i="3" s="1"/>
  <c r="AY11" i="3" l="1"/>
  <c r="AV35" i="3"/>
  <c r="AV34" i="3"/>
  <c r="AV32" i="3"/>
  <c r="AV28" i="3"/>
  <c r="AV27" i="3" s="1"/>
  <c r="AV26" i="3"/>
  <c r="AV25" i="3"/>
  <c r="AV24" i="3"/>
  <c r="AV23" i="3"/>
  <c r="AV20" i="3"/>
  <c r="AV19" i="3"/>
  <c r="AV17" i="3"/>
  <c r="AV14" i="3"/>
  <c r="AV12" i="3"/>
  <c r="AV18" i="3"/>
  <c r="AU15" i="3"/>
  <c r="AU16" i="3" s="1"/>
  <c r="AV16" i="3" s="1"/>
  <c r="AV15" i="3" l="1"/>
  <c r="AV36" i="3"/>
  <c r="AV43" i="3" s="1"/>
  <c r="H18" i="5" s="1"/>
  <c r="AU13" i="3"/>
  <c r="AV13" i="3" s="1"/>
  <c r="AV11" i="3" l="1"/>
  <c r="AS35" i="3" l="1"/>
  <c r="AS34" i="3"/>
  <c r="AS32" i="3"/>
  <c r="AS28" i="3"/>
  <c r="AS27" i="3" s="1"/>
  <c r="AS26" i="3"/>
  <c r="AS25" i="3"/>
  <c r="AS24" i="3"/>
  <c r="AS23" i="3"/>
  <c r="AS20" i="3"/>
  <c r="AS19" i="3"/>
  <c r="AS18" i="3"/>
  <c r="AS17" i="3"/>
  <c r="AS14" i="3"/>
  <c r="AS12" i="3"/>
  <c r="AR22" i="3"/>
  <c r="AR15" i="3"/>
  <c r="AR16" i="3" s="1"/>
  <c r="AS16" i="3" s="1"/>
  <c r="Q16" i="3"/>
  <c r="Z16" i="3"/>
  <c r="AI16" i="3"/>
  <c r="AI15" i="3"/>
  <c r="AC13" i="3"/>
  <c r="Z15" i="3"/>
  <c r="T13" i="3"/>
  <c r="T22" i="3"/>
  <c r="Q24" i="3"/>
  <c r="Q22" i="3"/>
  <c r="Q13" i="3"/>
  <c r="Q15" i="3"/>
  <c r="Q18" i="3"/>
  <c r="N18" i="3"/>
  <c r="N12" i="3"/>
  <c r="N15" i="3"/>
  <c r="N13" i="3"/>
  <c r="K22" i="3"/>
  <c r="K18" i="3"/>
  <c r="K13" i="3"/>
  <c r="H18" i="3"/>
  <c r="AS36" i="3" l="1"/>
  <c r="AS43" i="3" s="1"/>
  <c r="H17" i="5" s="1"/>
  <c r="AS15" i="3"/>
  <c r="AR13" i="3"/>
  <c r="AS13" i="3" s="1"/>
  <c r="H15" i="3"/>
  <c r="H13" i="3" s="1"/>
  <c r="AS11" i="3" l="1"/>
  <c r="Z18" i="3"/>
  <c r="K17" i="3"/>
  <c r="AO17" i="3"/>
  <c r="W17" i="3"/>
  <c r="T17" i="3"/>
  <c r="AO22" i="3"/>
  <c r="AO18" i="3"/>
  <c r="AO13" i="3"/>
  <c r="AL18" i="3"/>
  <c r="AL13" i="3"/>
  <c r="AL15" i="3"/>
  <c r="AL16" i="3" s="1"/>
  <c r="AI22" i="3"/>
  <c r="AI13" i="3"/>
  <c r="AI18" i="3"/>
  <c r="AF22" i="3"/>
  <c r="AF13" i="3"/>
  <c r="AF18" i="3"/>
  <c r="AF17" i="3"/>
  <c r="AC18" i="3"/>
  <c r="AC15" i="3"/>
  <c r="AC16" i="3" s="1"/>
  <c r="Z13" i="3" l="1"/>
  <c r="X17" i="3"/>
  <c r="W13" i="3"/>
  <c r="U24" i="3"/>
  <c r="U25" i="3"/>
  <c r="U26" i="3"/>
  <c r="T18" i="3"/>
  <c r="O14" i="3"/>
  <c r="N16" i="3"/>
  <c r="L17" i="3" l="1"/>
  <c r="I18" i="3"/>
  <c r="H16" i="3"/>
  <c r="I16" i="3" s="1"/>
  <c r="AD17" i="3"/>
  <c r="O17" i="3"/>
  <c r="X35" i="3"/>
  <c r="D204" i="3"/>
  <c r="AP35" i="3"/>
  <c r="AM35" i="3"/>
  <c r="AJ35" i="3"/>
  <c r="AG35" i="3"/>
  <c r="AD35" i="3"/>
  <c r="AA35" i="3"/>
  <c r="U35" i="3"/>
  <c r="R35" i="3"/>
  <c r="O35" i="3"/>
  <c r="L35" i="3"/>
  <c r="I35" i="3"/>
  <c r="AP34" i="3"/>
  <c r="AM34" i="3"/>
  <c r="AJ34" i="3"/>
  <c r="AG34" i="3"/>
  <c r="AD34" i="3"/>
  <c r="AA34" i="3"/>
  <c r="AA36" i="3" s="1"/>
  <c r="AA43" i="3" s="1"/>
  <c r="H11" i="5" s="1"/>
  <c r="X34" i="3"/>
  <c r="U34" i="3"/>
  <c r="U36" i="3" s="1"/>
  <c r="U43" i="3" s="1"/>
  <c r="R34" i="3"/>
  <c r="R36" i="3" s="1"/>
  <c r="R43" i="3" s="1"/>
  <c r="O34" i="3"/>
  <c r="O36" i="3" s="1"/>
  <c r="O43" i="3" s="1"/>
  <c r="H7" i="5" s="1"/>
  <c r="L34" i="3"/>
  <c r="I34" i="3"/>
  <c r="AP32" i="3"/>
  <c r="AM32" i="3"/>
  <c r="AJ32" i="3"/>
  <c r="AG32" i="3"/>
  <c r="AD32" i="3"/>
  <c r="AA32" i="3"/>
  <c r="X32" i="3"/>
  <c r="U32" i="3"/>
  <c r="R32" i="3"/>
  <c r="O32" i="3"/>
  <c r="L32" i="3"/>
  <c r="I32" i="3"/>
  <c r="AP28" i="3"/>
  <c r="AM28" i="3"/>
  <c r="AJ28" i="3"/>
  <c r="AG28" i="3"/>
  <c r="AD28" i="3"/>
  <c r="AA28" i="3"/>
  <c r="X28" i="3"/>
  <c r="U28" i="3"/>
  <c r="U27" i="3" s="1"/>
  <c r="R28" i="3"/>
  <c r="R27" i="3" s="1"/>
  <c r="O28" i="3"/>
  <c r="O27" i="3" s="1"/>
  <c r="L28" i="3"/>
  <c r="L27" i="3" s="1"/>
  <c r="I28" i="3"/>
  <c r="AP27" i="3"/>
  <c r="AM27" i="3"/>
  <c r="AJ27" i="3"/>
  <c r="AG27" i="3"/>
  <c r="AD27" i="3"/>
  <c r="AA27" i="3"/>
  <c r="X27" i="3"/>
  <c r="I27" i="3"/>
  <c r="AP26" i="3"/>
  <c r="AM26" i="3"/>
  <c r="AJ26" i="3"/>
  <c r="AG26" i="3"/>
  <c r="AD26" i="3"/>
  <c r="AA26" i="3"/>
  <c r="X26" i="3"/>
  <c r="R26" i="3"/>
  <c r="O26" i="3"/>
  <c r="L26" i="3"/>
  <c r="I26" i="3"/>
  <c r="AP25" i="3"/>
  <c r="AM25" i="3"/>
  <c r="AJ25" i="3"/>
  <c r="AG25" i="3"/>
  <c r="AD25" i="3"/>
  <c r="AA25" i="3"/>
  <c r="X25" i="3"/>
  <c r="R25" i="3"/>
  <c r="O25" i="3"/>
  <c r="L25" i="3"/>
  <c r="I25" i="3"/>
  <c r="AP24" i="3"/>
  <c r="AM24" i="3"/>
  <c r="AJ24" i="3"/>
  <c r="AG24" i="3"/>
  <c r="AD24" i="3"/>
  <c r="AA24" i="3"/>
  <c r="X24" i="3"/>
  <c r="R24" i="3"/>
  <c r="O24" i="3"/>
  <c r="L24" i="3"/>
  <c r="I24" i="3"/>
  <c r="AP23" i="3"/>
  <c r="AM23" i="3"/>
  <c r="AJ23" i="3"/>
  <c r="AG23" i="3"/>
  <c r="AD23" i="3"/>
  <c r="AA23" i="3"/>
  <c r="X23" i="3"/>
  <c r="U23" i="3"/>
  <c r="R23" i="3"/>
  <c r="O23" i="3"/>
  <c r="L23" i="3"/>
  <c r="I23" i="3"/>
  <c r="G22" i="3"/>
  <c r="O22" i="3" s="1"/>
  <c r="F22" i="3"/>
  <c r="AP20" i="3"/>
  <c r="AM20" i="3"/>
  <c r="AJ20" i="3"/>
  <c r="AG20" i="3"/>
  <c r="AD20" i="3"/>
  <c r="AA20" i="3"/>
  <c r="X20" i="3"/>
  <c r="U20" i="3"/>
  <c r="R20" i="3"/>
  <c r="O20" i="3"/>
  <c r="L20" i="3"/>
  <c r="I20" i="3"/>
  <c r="AP19" i="3"/>
  <c r="AM19" i="3"/>
  <c r="AJ19" i="3"/>
  <c r="AG19" i="3"/>
  <c r="AD19" i="3"/>
  <c r="AA19" i="3"/>
  <c r="X19" i="3"/>
  <c r="U19" i="3"/>
  <c r="R19" i="3"/>
  <c r="O19" i="3"/>
  <c r="L19" i="3"/>
  <c r="I19" i="3"/>
  <c r="AP18" i="3"/>
  <c r="AM18" i="3"/>
  <c r="AJ18" i="3"/>
  <c r="AG18" i="3"/>
  <c r="AD18" i="3"/>
  <c r="AA18" i="3"/>
  <c r="X18" i="3"/>
  <c r="U18" i="3"/>
  <c r="R18" i="3"/>
  <c r="O18" i="3"/>
  <c r="L18" i="3"/>
  <c r="AP17" i="3"/>
  <c r="AM17" i="3"/>
  <c r="AJ17" i="3"/>
  <c r="AG17" i="3"/>
  <c r="AA17" i="3"/>
  <c r="U17" i="3"/>
  <c r="R17" i="3"/>
  <c r="I17" i="3"/>
  <c r="AP16" i="3"/>
  <c r="AM16" i="3"/>
  <c r="AG16" i="3"/>
  <c r="AD16" i="3"/>
  <c r="AA16" i="3"/>
  <c r="X16" i="3"/>
  <c r="U16" i="3"/>
  <c r="O16" i="3"/>
  <c r="AP15" i="3"/>
  <c r="AM15" i="3"/>
  <c r="AJ16" i="3"/>
  <c r="AG15" i="3"/>
  <c r="AD15" i="3"/>
  <c r="AA15" i="3"/>
  <c r="X15" i="3"/>
  <c r="U15" i="3"/>
  <c r="R16" i="3"/>
  <c r="O15" i="3"/>
  <c r="L16" i="3"/>
  <c r="AP14" i="3"/>
  <c r="AM14" i="3"/>
  <c r="AJ14" i="3"/>
  <c r="AG14" i="3"/>
  <c r="AD14" i="3"/>
  <c r="AA14" i="3"/>
  <c r="X14" i="3"/>
  <c r="U14" i="3"/>
  <c r="R14" i="3"/>
  <c r="L14" i="3"/>
  <c r="I14" i="3"/>
  <c r="AP13" i="3"/>
  <c r="AM13" i="3"/>
  <c r="AG13" i="3"/>
  <c r="AD13" i="3"/>
  <c r="AA13" i="3"/>
  <c r="O13" i="3"/>
  <c r="L13" i="3"/>
  <c r="I13" i="3"/>
  <c r="AP12" i="3"/>
  <c r="AM12" i="3"/>
  <c r="AJ12" i="3"/>
  <c r="AG12" i="3"/>
  <c r="AD12" i="3"/>
  <c r="AA12" i="3"/>
  <c r="X12" i="3"/>
  <c r="U12" i="3"/>
  <c r="R12" i="3"/>
  <c r="O12" i="3"/>
  <c r="L12" i="3"/>
  <c r="I12" i="3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D5" i="5"/>
  <c r="E5" i="5"/>
  <c r="I21" i="5"/>
  <c r="BB22" i="3" l="1"/>
  <c r="BB21" i="3" s="1"/>
  <c r="AY22" i="3"/>
  <c r="AY21" i="3" s="1"/>
  <c r="AV22" i="3"/>
  <c r="AV21" i="3" s="1"/>
  <c r="AM22" i="3"/>
  <c r="AM21" i="3" s="1"/>
  <c r="U22" i="3"/>
  <c r="U21" i="3" s="1"/>
  <c r="AS22" i="3"/>
  <c r="AS21" i="3" s="1"/>
  <c r="AD22" i="3"/>
  <c r="AD21" i="3" s="1"/>
  <c r="AD36" i="3"/>
  <c r="AD43" i="3" s="1"/>
  <c r="H12" i="5" s="1"/>
  <c r="R22" i="3"/>
  <c r="R21" i="3" s="1"/>
  <c r="X22" i="3"/>
  <c r="AP22" i="3"/>
  <c r="AP21" i="3" s="1"/>
  <c r="AA22" i="3"/>
  <c r="AA21" i="3" s="1"/>
  <c r="AG36" i="3"/>
  <c r="AG43" i="3" s="1"/>
  <c r="H13" i="5" s="1"/>
  <c r="X21" i="3"/>
  <c r="O21" i="3"/>
  <c r="AG11" i="3"/>
  <c r="AA11" i="3"/>
  <c r="L36" i="3"/>
  <c r="L43" i="3" s="1"/>
  <c r="H6" i="5" s="1"/>
  <c r="I36" i="3"/>
  <c r="I43" i="3" s="1"/>
  <c r="H5" i="5" s="1"/>
  <c r="AP36" i="3"/>
  <c r="AP43" i="3" s="1"/>
  <c r="H16" i="5" s="1"/>
  <c r="AM36" i="3"/>
  <c r="AM43" i="3" s="1"/>
  <c r="H15" i="5" s="1"/>
  <c r="AJ36" i="3"/>
  <c r="AJ43" i="3" s="1"/>
  <c r="H14" i="5" s="1"/>
  <c r="X36" i="3"/>
  <c r="X43" i="3" s="1"/>
  <c r="H10" i="5" s="1"/>
  <c r="AD11" i="3"/>
  <c r="AP11" i="3"/>
  <c r="AM11" i="3"/>
  <c r="O11" i="3"/>
  <c r="I15" i="3"/>
  <c r="I11" i="3" s="1"/>
  <c r="L15" i="3"/>
  <c r="L11" i="3" s="1"/>
  <c r="AJ15" i="3"/>
  <c r="AG22" i="3"/>
  <c r="AG21" i="3" s="1"/>
  <c r="R13" i="3"/>
  <c r="AJ13" i="3"/>
  <c r="R15" i="3"/>
  <c r="AJ22" i="3"/>
  <c r="AJ21" i="3" s="1"/>
  <c r="I22" i="3"/>
  <c r="I21" i="3" s="1"/>
  <c r="U13" i="3"/>
  <c r="U11" i="3" s="1"/>
  <c r="L22" i="3"/>
  <c r="L21" i="3" s="1"/>
  <c r="X13" i="3"/>
  <c r="X11" i="3" s="1"/>
  <c r="H9" i="5"/>
  <c r="H8" i="5"/>
  <c r="BB29" i="3" l="1"/>
  <c r="BB38" i="3" s="1"/>
  <c r="BB42" i="3"/>
  <c r="G20" i="5" s="1"/>
  <c r="I20" i="5" s="1"/>
  <c r="AY29" i="3"/>
  <c r="AY38" i="3" s="1"/>
  <c r="AY39" i="3" s="1"/>
  <c r="AY40" i="3" s="1"/>
  <c r="AY42" i="3"/>
  <c r="G19" i="5" s="1"/>
  <c r="I19" i="5" s="1"/>
  <c r="U42" i="3"/>
  <c r="G9" i="5" s="1"/>
  <c r="I9" i="5" s="1"/>
  <c r="AV29" i="3"/>
  <c r="AV38" i="3" s="1"/>
  <c r="AV42" i="3"/>
  <c r="G18" i="5" s="1"/>
  <c r="I18" i="5" s="1"/>
  <c r="AS29" i="3"/>
  <c r="AS38" i="3" s="1"/>
  <c r="AS39" i="3" s="1"/>
  <c r="AS40" i="3" s="1"/>
  <c r="AS42" i="3"/>
  <c r="G17" i="5" s="1"/>
  <c r="I17" i="5" s="1"/>
  <c r="AD42" i="3"/>
  <c r="G12" i="5" s="1"/>
  <c r="I12" i="5" s="1"/>
  <c r="AM42" i="3"/>
  <c r="G15" i="5" s="1"/>
  <c r="I15" i="5" s="1"/>
  <c r="AA42" i="3"/>
  <c r="G11" i="5" s="1"/>
  <c r="AA29" i="3"/>
  <c r="AA38" i="3" s="1"/>
  <c r="AA39" i="3" s="1"/>
  <c r="AA40" i="3" s="1"/>
  <c r="H22" i="5"/>
  <c r="AP42" i="3"/>
  <c r="G16" i="5" s="1"/>
  <c r="I16" i="5" s="1"/>
  <c r="AJ11" i="3"/>
  <c r="AJ42" i="3" s="1"/>
  <c r="G14" i="5" s="1"/>
  <c r="I14" i="5" s="1"/>
  <c r="AG29" i="3"/>
  <c r="AG38" i="3" s="1"/>
  <c r="AG39" i="3" s="1"/>
  <c r="AG40" i="3" s="1"/>
  <c r="R11" i="3"/>
  <c r="R42" i="3" s="1"/>
  <c r="G8" i="5" s="1"/>
  <c r="I8" i="5" s="1"/>
  <c r="X42" i="3"/>
  <c r="G10" i="5" s="1"/>
  <c r="I10" i="5" s="1"/>
  <c r="U29" i="3"/>
  <c r="U38" i="3" s="1"/>
  <c r="U39" i="3" s="1"/>
  <c r="U40" i="3" s="1"/>
  <c r="O42" i="3"/>
  <c r="G7" i="5" s="1"/>
  <c r="I7" i="5" s="1"/>
  <c r="O29" i="3"/>
  <c r="O38" i="3" s="1"/>
  <c r="O39" i="3" s="1"/>
  <c r="O40" i="3" s="1"/>
  <c r="L42" i="3"/>
  <c r="G6" i="5" s="1"/>
  <c r="I6" i="5" s="1"/>
  <c r="I42" i="3"/>
  <c r="G5" i="5" s="1"/>
  <c r="AM29" i="3"/>
  <c r="AM38" i="3" s="1"/>
  <c r="AP29" i="3"/>
  <c r="AP38" i="3" s="1"/>
  <c r="I29" i="3"/>
  <c r="I38" i="3" s="1"/>
  <c r="AD29" i="3"/>
  <c r="AD38" i="3" s="1"/>
  <c r="L29" i="3"/>
  <c r="L38" i="3" s="1"/>
  <c r="X29" i="3"/>
  <c r="X38" i="3" s="1"/>
  <c r="AG42" i="3"/>
  <c r="G13" i="5" s="1"/>
  <c r="I13" i="5" s="1"/>
  <c r="BB39" i="3" l="1"/>
  <c r="BB40" i="3"/>
  <c r="AV39" i="3"/>
  <c r="AV40" i="3"/>
  <c r="AJ29" i="3"/>
  <c r="AJ38" i="3" s="1"/>
  <c r="AJ39" i="3" s="1"/>
  <c r="AJ40" i="3" s="1"/>
  <c r="R29" i="3"/>
  <c r="R38" i="3" s="1"/>
  <c r="R39" i="3" s="1"/>
  <c r="R40" i="3" s="1"/>
  <c r="G22" i="5"/>
  <c r="I39" i="3"/>
  <c r="I40" i="3" s="1"/>
  <c r="AP39" i="3"/>
  <c r="AP40" i="3" s="1"/>
  <c r="AM39" i="3"/>
  <c r="AM40" i="3" s="1"/>
  <c r="X39" i="3"/>
  <c r="X40" i="3" s="1"/>
  <c r="L39" i="3"/>
  <c r="L40" i="3" s="1"/>
  <c r="AD39" i="3"/>
  <c r="AD40" i="3" s="1"/>
  <c r="I11" i="5"/>
  <c r="I5" i="5" l="1"/>
  <c r="I2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Salim Buheti</author>
    <author>user</author>
    <author>tc={8F7D535F-61CE-4D09-960A-A0261BB8B6D1}</author>
  </authors>
  <commentList>
    <comment ref="F12" authorId="0" shapeId="0" xr:uid="{D8C33094-9D45-48E8-B882-63226065CCF2}">
      <text>
        <r>
          <rPr>
            <b/>
            <sz val="9"/>
            <color indexed="81"/>
            <rFont val="Tahoma"/>
            <family val="2"/>
          </rPr>
          <t>Salim Buheti:</t>
        </r>
        <r>
          <rPr>
            <sz val="9"/>
            <color indexed="81"/>
            <rFont val="Tahoma"/>
            <family val="2"/>
          </rPr>
          <t xml:space="preserve">
Derived from retainwall shiett
</t>
        </r>
      </text>
    </comment>
    <comment ref="O12" authorId="1" shapeId="0" xr:uid="{EC88B524-1F35-4DF6-938B-4F798680B3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Retaining wall repair
Retaining wall support</t>
        </r>
      </text>
    </comment>
    <comment ref="X12" authorId="1" shapeId="0" xr:uid="{0323F346-5C51-460C-9E42-27876A0B66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stone pitching repair</t>
        </r>
      </text>
    </comment>
    <comment ref="F15" authorId="2" shapeId="0" xr:uid="{8F7D535F-61CE-4D09-960A-A0261BB8B6D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 to negotiate with Nabaki</t>
        </r>
      </text>
    </comment>
    <comment ref="I18" authorId="1" shapeId="0" xr:uid="{13FEA4EB-1D69-4DE8-BF59-327851D0D9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Outside concrete
Cable tray support
SLEEPERS repair</t>
        </r>
      </text>
    </comment>
    <comment ref="L18" authorId="1" shapeId="0" xr:uid="{D51025C0-478B-4C0B-A5AF-211FC63B3B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Outside concrete</t>
        </r>
      </text>
    </comment>
    <comment ref="O18" authorId="1" shapeId="0" xr:uid="{729DD401-E058-4AE0-89E4-3DE96C8460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Beam repair
slab repair
</t>
        </r>
      </text>
    </comment>
    <comment ref="AA18" authorId="1" shapeId="0" xr:uid="{99E08EE7-6811-4F49-A341-EEB6309FBB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outside concrete
Wall plastering and repair</t>
        </r>
      </text>
    </comment>
    <comment ref="AD18" authorId="1" shapeId="0" xr:uid="{87926FB4-0369-47D2-AFA1-58D1311C78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outside concrete
Wall plastering</t>
        </r>
      </text>
    </comment>
    <comment ref="U22" authorId="1" shapeId="0" xr:uid="{63A21602-52AA-40C8-8A15-7396852EF2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3new tenants</t>
        </r>
      </text>
    </comment>
    <comment ref="AA22" authorId="1" shapeId="0" xr:uid="{1537D4C4-77B7-4CA1-A735-F90970FD05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2new tenants</t>
        </r>
      </text>
    </comment>
    <comment ref="I24" authorId="1" shapeId="0" xr:uid="{81BE859B-152F-46C6-AAA6-F098B7FE13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Cables passing through generator slab need to be covered
</t>
        </r>
      </text>
    </comment>
    <comment ref="U26" authorId="1" shapeId="0" xr:uid="{90141EBA-57FA-4F18-A91A-505ED008C5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constructed Manhole</t>
        </r>
      </text>
    </comment>
  </commentList>
</comments>
</file>

<file path=xl/sharedStrings.xml><?xml version="1.0" encoding="utf-8"?>
<sst xmlns="http://schemas.openxmlformats.org/spreadsheetml/2006/main" count="301" uniqueCount="110">
  <si>
    <t>ITEM</t>
  </si>
  <si>
    <t>UNIT</t>
  </si>
  <si>
    <t>Transport</t>
  </si>
  <si>
    <t>km</t>
  </si>
  <si>
    <t>RFP / RFQ Reference</t>
  </si>
  <si>
    <t xml:space="preserve">Date </t>
  </si>
  <si>
    <t>OpCos</t>
  </si>
  <si>
    <t>Supplier</t>
  </si>
  <si>
    <t>Terms and Conditions are as per memorandum of understanding or contract</t>
  </si>
  <si>
    <t>Item Description</t>
  </si>
  <si>
    <t>Qty</t>
  </si>
  <si>
    <t>Site Name</t>
  </si>
  <si>
    <t>Service</t>
  </si>
  <si>
    <t>SUBTOTAL</t>
  </si>
  <si>
    <t>SUB TOTAL (TZS)</t>
  </si>
  <si>
    <t xml:space="preserve"> +18% VAT</t>
  </si>
  <si>
    <t>TOTAL (TZS)</t>
  </si>
  <si>
    <t>S/n</t>
  </si>
  <si>
    <t>HTA ID</t>
  </si>
  <si>
    <t>Region</t>
  </si>
  <si>
    <t>Services
Unit Cost
(TZS)</t>
  </si>
  <si>
    <t>Material
Unit Cost
(TZS)</t>
  </si>
  <si>
    <t>TOTAL(TZS)</t>
  </si>
  <si>
    <t>Transportation of materials to site (Within Dar es Salaam)</t>
  </si>
  <si>
    <t>Transportation of materials to site (Outside Dar es Salaam)</t>
  </si>
  <si>
    <t>Transport, Haulage and Mobilization</t>
  </si>
  <si>
    <r>
      <rPr>
        <b/>
        <sz val="10"/>
        <color theme="1"/>
        <rFont val="Century Gothic"/>
        <family val="2"/>
      </rPr>
      <t>PROJECT TYPE</t>
    </r>
    <r>
      <rPr>
        <sz val="10"/>
        <color theme="0"/>
        <rFont val="Century Gothic"/>
        <family val="2"/>
      </rPr>
      <t>: Site Improvement - Oversite Aggregates and Concrete</t>
    </r>
  </si>
  <si>
    <t>Site Preparation and Finishing</t>
  </si>
  <si>
    <t>m²</t>
  </si>
  <si>
    <t>1.1.1</t>
  </si>
  <si>
    <t>1.1.2</t>
  </si>
  <si>
    <t>m³</t>
  </si>
  <si>
    <t>1.1.3</t>
  </si>
  <si>
    <t>1.1.4</t>
  </si>
  <si>
    <t>1.1.5</t>
  </si>
  <si>
    <t>1.1.6</t>
  </si>
  <si>
    <t>1.1.7</t>
  </si>
  <si>
    <t>Power - Equipment Slab</t>
  </si>
  <si>
    <t>Equipment Slab/ Sleepers (ACDB, DCDB, Rectifier Cabinet, Generator, Line Conditioning Unit, Tenant Equipment) Installation - Reinforced concrete</t>
  </si>
  <si>
    <t>2.1.1</t>
  </si>
  <si>
    <t>2.1.2</t>
  </si>
  <si>
    <t xml:space="preserve">Installation of complete galvanized standard cable trays (including supply and installation of all accessories/supports and grounding)  </t>
  </si>
  <si>
    <t>Site</t>
  </si>
  <si>
    <t>Install 110mm flexible HDPE Corrugated pipe (with accessories, couplings, etc.)</t>
  </si>
  <si>
    <t>2.1.3</t>
  </si>
  <si>
    <t>2.1.4</t>
  </si>
  <si>
    <t>2.1.5</t>
  </si>
  <si>
    <t>Project Management &amp; Documentation</t>
  </si>
  <si>
    <t>3.1.1</t>
  </si>
  <si>
    <t>m</t>
  </si>
  <si>
    <t>5.1.1</t>
  </si>
  <si>
    <t>5.1.2</t>
  </si>
  <si>
    <t>Supply Imported G7 materials and Backfill Site compound, including Compacting to 93% MDD AASHTO (Only the size of the site e.g.10 x 10m).</t>
  </si>
  <si>
    <t>Install 19 mm² Stone Chip including mixing in coarse salt within site compound  (100 mm layer) (Only the size of the site e.g.10 x 10m)</t>
  </si>
  <si>
    <t>Technical Site Survey, Project Management, Field Supervision and Administrative costs including QA, Integration management and handover</t>
  </si>
  <si>
    <t>1.1.8</t>
  </si>
  <si>
    <t>Apply approved herbicide uniformly to prevent future vegetation growth.</t>
  </si>
  <si>
    <t>1.1.9</t>
  </si>
  <si>
    <t>Supply Medium Duty Cast Iron Cover and Frame Manhole Cover size 0.8m x 0.8m  incl Building of Manhole</t>
  </si>
  <si>
    <t>ea</t>
  </si>
  <si>
    <t>Gate Ramp- Steps(stairs)</t>
  </si>
  <si>
    <t xml:space="preserve">Earthing System for HTA + 2 Tenant Greenfield Site (Standard Design) complete  for a 15m x 15m site layout. </t>
  </si>
  <si>
    <t>Supply and installation of earth rods and accessories</t>
  </si>
  <si>
    <t>lot</t>
  </si>
  <si>
    <t>each</t>
  </si>
  <si>
    <t>Description</t>
  </si>
  <si>
    <t>Site ID</t>
  </si>
  <si>
    <t>Services (TZS)</t>
  </si>
  <si>
    <t>Transportation (TZS)</t>
  </si>
  <si>
    <t>Total Price (TZS)</t>
  </si>
  <si>
    <t>Site improvement works</t>
  </si>
  <si>
    <r>
      <t>Retaining Wall including reinforcement beam, stones,bricks,sand and Cement-</t>
    </r>
    <r>
      <rPr>
        <b/>
        <sz val="11"/>
        <rFont val="Century Gothic"/>
        <family val="2"/>
      </rPr>
      <t xml:space="preserve"> Not Standard</t>
    </r>
    <r>
      <rPr>
        <sz val="11"/>
        <rFont val="Century Gothic"/>
        <family val="2"/>
      </rPr>
      <t xml:space="preserve"> (Not more than 1m)</t>
    </r>
  </si>
  <si>
    <r>
      <t xml:space="preserve">Oversite concrete( wire mesh with concrete of grade C20) - </t>
    </r>
    <r>
      <rPr>
        <b/>
        <sz val="10"/>
        <color rgb="FFFF0000"/>
        <rFont val="Century Gothic"/>
        <family val="2"/>
      </rPr>
      <t>Within Site</t>
    </r>
  </si>
  <si>
    <r>
      <t xml:space="preserve">Oversite concrete( wire mesh with concrete of grade C20) - </t>
    </r>
    <r>
      <rPr>
        <b/>
        <sz val="10"/>
        <color rgb="FFFF0000"/>
        <rFont val="Century Gothic"/>
        <family val="2"/>
      </rPr>
      <t>Outside the Site</t>
    </r>
  </si>
  <si>
    <r>
      <t xml:space="preserve">Non-woven </t>
    </r>
    <r>
      <rPr>
        <b/>
        <sz val="10"/>
        <color rgb="FFFF0000"/>
        <rFont val="Century Gothic"/>
        <family val="2"/>
      </rPr>
      <t>Geofabric membrane type 250 - 300gsm</t>
    </r>
    <r>
      <rPr>
        <sz val="10"/>
        <color rgb="FFFF0000"/>
        <rFont val="Century Gothic"/>
        <family val="2"/>
      </rPr>
      <t>, UV stabilized, polypropylene or approved equivalent for weed control, (area of membrane required is calculated  by removing areas for: tower foundation, plinths, guard hut)  (Only the size of the site e.g.15 x 15m) - (Double layer)</t>
    </r>
  </si>
  <si>
    <t>Tabora</t>
  </si>
  <si>
    <t xml:space="preserve">Tabora  </t>
  </si>
  <si>
    <t>TZTB1217</t>
  </si>
  <si>
    <t>Nyalaja</t>
  </si>
  <si>
    <t>TZTB2341</t>
  </si>
  <si>
    <t>Mwashina</t>
  </si>
  <si>
    <t>TZTB2346</t>
  </si>
  <si>
    <t>Mabama</t>
  </si>
  <si>
    <t>TZTB6750</t>
  </si>
  <si>
    <t>Milambo Itobo Ucsaf</t>
  </si>
  <si>
    <t>TZTB2353</t>
  </si>
  <si>
    <t>Ndala</t>
  </si>
  <si>
    <t>TZTB1568</t>
  </si>
  <si>
    <t>Tumbi</t>
  </si>
  <si>
    <t>TZTB5713</t>
  </si>
  <si>
    <t>Igunga vtz</t>
  </si>
  <si>
    <t>TZTB7528</t>
  </si>
  <si>
    <t>Itunduru vtz</t>
  </si>
  <si>
    <t>TZTB7797</t>
  </si>
  <si>
    <t>Mwabakima</t>
  </si>
  <si>
    <t>TZTB7519</t>
  </si>
  <si>
    <t>Ndembezi Igunga Vtz</t>
  </si>
  <si>
    <t>TZTB2352</t>
  </si>
  <si>
    <t>Nkinga Sector 0</t>
  </si>
  <si>
    <t>TZTB3253</t>
  </si>
  <si>
    <t>Usongo Mission</t>
  </si>
  <si>
    <t>TZDA0495</t>
  </si>
  <si>
    <t>Chanika Kitonga</t>
  </si>
  <si>
    <t>Dar es Salaam</t>
  </si>
  <si>
    <t>TZDA0565</t>
  </si>
  <si>
    <t>Mavurunza G5</t>
  </si>
  <si>
    <t>TZDA1868</t>
  </si>
  <si>
    <t>Kijitonyama</t>
  </si>
  <si>
    <t>TZDA2939</t>
  </si>
  <si>
    <t>Wazo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</si>
</sst>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\ _F_-;\-* #,##0.00\ _F_-;_-* &quot;-&quot;??\ _F_-;_-@_-"/>
    <numFmt numFmtId="166" formatCode="_ * #,##0_ ;_ * \-#,##0_ ;_ * &quot;-&quot;??_ ;_ @_ "/>
    <numFmt numFmtId="167" formatCode="#,##0.00_ ;[Red]\-#,##0.00\ "/>
    <numFmt numFmtId="168" formatCode="#,##0_ ;[Red]\-#,##0\ "/>
    <numFmt numFmtId="169" formatCode="[$-409]d\-mmm\-yy;@"/>
    <numFmt numFmtId="170" formatCode="_ * #,##0.00_ ;_ * \-#,##0.00_ ;_ * &quot;-&quot;??_ ;_ @_ "/>
    <numFmt numFmtId="171" formatCode="_-[$$-409]* #,##0.00_ ;_-[$$-409]* \-#,##0.00\ ;_-[$$-409]* &quot;-&quot;??_ ;_-@_ "/>
    <numFmt numFmtId="172" formatCode="[$TZS]\ #,##0.00"/>
    <numFmt numFmtId="173" formatCode="_([$TZS]\ * #,##0.00_);_([$TZS]\ * \(#,##0.00\);_([$TZS]\ * &quot;-&quot;??_);_(@_)"/>
    <numFmt numFmtId="174" formatCode="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FuturaA Bk BT"/>
    </font>
    <font>
      <sz val="10"/>
      <name val="Arial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name val="Century Gothic"/>
      <family val="2"/>
    </font>
    <font>
      <sz val="10"/>
      <color theme="0"/>
      <name val="Century Gothic"/>
      <family val="2"/>
    </font>
    <font>
      <b/>
      <sz val="10"/>
      <color theme="0"/>
      <name val="Century Gothic"/>
      <family val="2"/>
    </font>
    <font>
      <b/>
      <sz val="10"/>
      <name val="Century Gothic"/>
      <family val="2"/>
    </font>
    <font>
      <sz val="12"/>
      <color theme="0"/>
      <name val="Century Gothic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Verdana"/>
      <family val="2"/>
    </font>
    <font>
      <sz val="8"/>
      <name val="Calibri"/>
      <family val="2"/>
      <scheme val="minor"/>
    </font>
    <font>
      <sz val="10"/>
      <color rgb="FFFF0000"/>
      <name val="Century Gothic"/>
      <family val="2"/>
    </font>
    <font>
      <sz val="11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8"/>
      <color theme="1"/>
      <name val="Century Gothic"/>
      <family val="2"/>
    </font>
    <font>
      <b/>
      <sz val="8"/>
      <color theme="0"/>
      <name val="Century Gothic"/>
      <family val="2"/>
    </font>
    <font>
      <sz val="8"/>
      <name val="Century Gothic"/>
      <family val="2"/>
    </font>
    <font>
      <b/>
      <sz val="10"/>
      <color rgb="FFFF0000"/>
      <name val="Century Gothic"/>
      <family val="2"/>
    </font>
    <font>
      <sz val="11"/>
      <color rgb="FFFF0000"/>
      <name val="Century Gothic"/>
      <family val="2"/>
    </font>
    <font>
      <b/>
      <sz val="8"/>
      <name val="Century Gothic"/>
      <family val="2"/>
    </font>
    <font>
      <sz val="10"/>
      <color rgb="FF00B0F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14996795556505021"/>
      </right>
      <top/>
      <bottom style="thin">
        <color auto="1"/>
      </bottom>
      <diagonal/>
    </border>
  </borders>
  <cellStyleXfs count="25">
    <xf numFmtId="0" fontId="0" fillId="0" borderId="0"/>
    <xf numFmtId="0" fontId="1" fillId="2" borderId="1" applyNumberFormat="0" applyFont="0" applyAlignment="0" applyProtection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4" fillId="0" borderId="0"/>
    <xf numFmtId="0" fontId="12" fillId="0" borderId="0" applyNumberFormat="0" applyFont="0" applyBorder="0" applyProtection="0"/>
    <xf numFmtId="41" fontId="13" fillId="0" borderId="0" applyFont="0" applyFill="0" applyBorder="0" applyAlignment="0" applyProtection="0"/>
    <xf numFmtId="0" fontId="14" fillId="0" borderId="0"/>
    <xf numFmtId="9" fontId="1" fillId="0" borderId="0" applyFont="0" applyFill="0" applyBorder="0" applyAlignment="0" applyProtection="0"/>
    <xf numFmtId="43" fontId="4" fillId="0" borderId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4" fillId="0" borderId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4">
    <xf numFmtId="0" fontId="0" fillId="0" borderId="0" xfId="0"/>
    <xf numFmtId="0" fontId="7" fillId="0" borderId="0" xfId="0" applyFont="1" applyAlignment="1">
      <alignment vertical="center"/>
    </xf>
    <xf numFmtId="0" fontId="6" fillId="7" borderId="6" xfId="0" applyFont="1" applyFill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2" applyFont="1" applyAlignment="1">
      <alignment vertical="center"/>
    </xf>
    <xf numFmtId="0" fontId="5" fillId="3" borderId="0" xfId="2" applyFont="1" applyFill="1" applyAlignment="1">
      <alignment horizontal="center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 wrapText="1"/>
    </xf>
    <xf numFmtId="0" fontId="7" fillId="0" borderId="0" xfId="3" applyFont="1" applyAlignment="1">
      <alignment vertical="center"/>
    </xf>
    <xf numFmtId="0" fontId="5" fillId="0" borderId="0" xfId="2" applyFont="1" applyAlignment="1">
      <alignment horizontal="center" vertical="center"/>
    </xf>
    <xf numFmtId="167" fontId="5" fillId="0" borderId="0" xfId="2" applyNumberFormat="1" applyFont="1" applyAlignment="1">
      <alignment horizontal="center" vertical="center"/>
    </xf>
    <xf numFmtId="168" fontId="5" fillId="0" borderId="0" xfId="2" applyNumberFormat="1" applyFont="1" applyAlignment="1">
      <alignment horizontal="center" vertical="center"/>
    </xf>
    <xf numFmtId="0" fontId="5" fillId="0" borderId="0" xfId="2" applyFont="1"/>
    <xf numFmtId="0" fontId="6" fillId="3" borderId="0" xfId="2" applyFont="1" applyFill="1" applyAlignment="1">
      <alignment horizontal="center" vertical="center" wrapText="1"/>
    </xf>
    <xf numFmtId="0" fontId="9" fillId="6" borderId="4" xfId="3" applyFont="1" applyFill="1" applyBorder="1" applyAlignment="1">
      <alignment horizontal="center" vertical="center" wrapText="1"/>
    </xf>
    <xf numFmtId="0" fontId="9" fillId="6" borderId="4" xfId="3" applyFont="1" applyFill="1" applyBorder="1" applyAlignment="1">
      <alignment horizontal="center" vertical="center"/>
    </xf>
    <xf numFmtId="43" fontId="9" fillId="6" borderId="4" xfId="4" applyFont="1" applyFill="1" applyBorder="1" applyAlignment="1" applyProtection="1">
      <alignment horizontal="center" vertical="center" wrapText="1"/>
    </xf>
    <xf numFmtId="0" fontId="10" fillId="7" borderId="2" xfId="5" applyFont="1" applyFill="1" applyBorder="1" applyAlignment="1">
      <alignment horizontal="center" vertical="center" wrapText="1"/>
    </xf>
    <xf numFmtId="9" fontId="10" fillId="7" borderId="2" xfId="6" applyFont="1" applyFill="1" applyBorder="1" applyAlignment="1" applyProtection="1">
      <alignment vertical="center" wrapText="1"/>
    </xf>
    <xf numFmtId="9" fontId="10" fillId="7" borderId="3" xfId="6" applyFont="1" applyFill="1" applyBorder="1" applyAlignment="1" applyProtection="1">
      <alignment vertical="center"/>
    </xf>
    <xf numFmtId="0" fontId="5" fillId="0" borderId="4" xfId="2" applyFont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3" borderId="0" xfId="2" applyFont="1" applyFill="1" applyAlignment="1">
      <alignment vertical="center"/>
    </xf>
    <xf numFmtId="0" fontId="7" fillId="4" borderId="3" xfId="3" quotePrefix="1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 indent="9"/>
    </xf>
    <xf numFmtId="43" fontId="7" fillId="5" borderId="4" xfId="4" applyFont="1" applyFill="1" applyBorder="1" applyAlignment="1" applyProtection="1">
      <alignment horizontal="center" vertical="center"/>
    </xf>
    <xf numFmtId="43" fontId="5" fillId="0" borderId="4" xfId="1" applyNumberFormat="1" applyFont="1" applyFill="1" applyBorder="1" applyAlignment="1" applyProtection="1">
      <alignment vertical="center"/>
      <protection locked="0"/>
    </xf>
    <xf numFmtId="43" fontId="5" fillId="0" borderId="0" xfId="4" applyFont="1" applyFill="1" applyBorder="1" applyAlignment="1">
      <alignment horizontal="center" vertical="center"/>
    </xf>
    <xf numFmtId="43" fontId="5" fillId="0" borderId="0" xfId="4" applyFont="1" applyAlignment="1">
      <alignment vertical="center"/>
    </xf>
    <xf numFmtId="0" fontId="5" fillId="0" borderId="12" xfId="2" applyFont="1" applyBorder="1"/>
    <xf numFmtId="0" fontId="5" fillId="0" borderId="11" xfId="2" applyFont="1" applyBorder="1" applyAlignment="1">
      <alignment wrapText="1"/>
    </xf>
    <xf numFmtId="0" fontId="5" fillId="0" borderId="11" xfId="2" applyFont="1" applyBorder="1"/>
    <xf numFmtId="0" fontId="5" fillId="0" borderId="13" xfId="2" applyFont="1" applyBorder="1"/>
    <xf numFmtId="0" fontId="5" fillId="0" borderId="14" xfId="2" applyFont="1" applyBorder="1"/>
    <xf numFmtId="0" fontId="5" fillId="0" borderId="10" xfId="2" applyFont="1" applyBorder="1" applyAlignment="1">
      <alignment wrapText="1"/>
    </xf>
    <xf numFmtId="0" fontId="5" fillId="0" borderId="10" xfId="2" applyFont="1" applyBorder="1"/>
    <xf numFmtId="0" fontId="5" fillId="0" borderId="9" xfId="2" applyFont="1" applyBorder="1"/>
    <xf numFmtId="0" fontId="7" fillId="6" borderId="2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8" fillId="6" borderId="15" xfId="0" applyFont="1" applyFill="1" applyBorder="1" applyAlignment="1">
      <alignment vertical="center"/>
    </xf>
    <xf numFmtId="0" fontId="11" fillId="6" borderId="4" xfId="0" applyFont="1" applyFill="1" applyBorder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right" vertical="center"/>
    </xf>
    <xf numFmtId="164" fontId="5" fillId="0" borderId="4" xfId="2" applyNumberFormat="1" applyFont="1" applyBorder="1" applyAlignment="1">
      <alignment horizontal="center" vertical="center"/>
    </xf>
    <xf numFmtId="171" fontId="7" fillId="0" borderId="0" xfId="3" applyNumberFormat="1" applyFont="1" applyAlignment="1">
      <alignment vertical="center" wrapText="1"/>
    </xf>
    <xf numFmtId="0" fontId="5" fillId="0" borderId="4" xfId="0" applyFont="1" applyBorder="1" applyAlignment="1">
      <alignment horizontal="center"/>
    </xf>
    <xf numFmtId="0" fontId="7" fillId="0" borderId="2" xfId="12" applyFont="1" applyBorder="1" applyAlignment="1">
      <alignment vertical="center" wrapText="1"/>
    </xf>
    <xf numFmtId="0" fontId="7" fillId="0" borderId="2" xfId="12" applyFont="1" applyBorder="1" applyAlignment="1">
      <alignment wrapText="1"/>
    </xf>
    <xf numFmtId="43" fontId="7" fillId="0" borderId="4" xfId="4" applyFont="1" applyFill="1" applyBorder="1" applyAlignment="1" applyProtection="1">
      <alignment horizontal="center" vertical="center"/>
    </xf>
    <xf numFmtId="43" fontId="7" fillId="5" borderId="3" xfId="4" applyFont="1" applyFill="1" applyBorder="1" applyAlignment="1" applyProtection="1">
      <alignment horizontal="center" vertical="center"/>
    </xf>
    <xf numFmtId="43" fontId="5" fillId="0" borderId="3" xfId="1" applyNumberFormat="1" applyFont="1" applyFill="1" applyBorder="1" applyAlignment="1" applyProtection="1">
      <alignment vertical="center"/>
      <protection locked="0"/>
    </xf>
    <xf numFmtId="0" fontId="5" fillId="0" borderId="3" xfId="2" applyFont="1" applyBorder="1" applyAlignment="1">
      <alignment horizontal="center" vertical="center"/>
    </xf>
    <xf numFmtId="0" fontId="10" fillId="9" borderId="2" xfId="12" applyFont="1" applyFill="1" applyBorder="1" applyAlignment="1">
      <alignment vertical="center" wrapText="1"/>
    </xf>
    <xf numFmtId="0" fontId="6" fillId="0" borderId="4" xfId="2" applyFont="1" applyBorder="1" applyAlignment="1">
      <alignment horizontal="center" vertical="center"/>
    </xf>
    <xf numFmtId="164" fontId="5" fillId="10" borderId="4" xfId="2" applyNumberFormat="1" applyFont="1" applyFill="1" applyBorder="1" applyAlignment="1">
      <alignment horizontal="center" vertical="center"/>
    </xf>
    <xf numFmtId="43" fontId="7" fillId="0" borderId="3" xfId="4" applyFont="1" applyFill="1" applyBorder="1" applyAlignment="1" applyProtection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" fillId="7" borderId="2" xfId="2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16" fillId="11" borderId="2" xfId="0" applyFont="1" applyFill="1" applyBorder="1" applyAlignment="1">
      <alignment vertical="center" wrapText="1"/>
    </xf>
    <xf numFmtId="0" fontId="16" fillId="11" borderId="3" xfId="0" applyFont="1" applyFill="1" applyBorder="1" applyAlignment="1">
      <alignment vertical="center" wrapText="1"/>
    </xf>
    <xf numFmtId="1" fontId="6" fillId="6" borderId="2" xfId="0" applyNumberFormat="1" applyFont="1" applyFill="1" applyBorder="1" applyAlignment="1">
      <alignment horizontal="center" vertical="center" wrapText="1"/>
    </xf>
    <xf numFmtId="1" fontId="6" fillId="6" borderId="2" xfId="0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6" fillId="0" borderId="16" xfId="0" applyFont="1" applyBorder="1" applyAlignment="1">
      <alignment horizontal="center" wrapText="1"/>
    </xf>
    <xf numFmtId="1" fontId="6" fillId="0" borderId="17" xfId="0" applyNumberFormat="1" applyFont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16" fillId="11" borderId="4" xfId="0" applyFont="1" applyFill="1" applyBorder="1" applyAlignment="1">
      <alignment vertical="center" wrapText="1"/>
    </xf>
    <xf numFmtId="0" fontId="5" fillId="0" borderId="19" xfId="0" applyFont="1" applyBorder="1" applyAlignment="1">
      <alignment horizontal="center" vertical="center"/>
    </xf>
    <xf numFmtId="43" fontId="5" fillId="0" borderId="4" xfId="0" applyNumberFormat="1" applyFont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166" fontId="17" fillId="0" borderId="6" xfId="7" applyNumberFormat="1" applyFont="1" applyFill="1" applyBorder="1" applyAlignment="1" applyProtection="1">
      <alignment horizontal="center" vertical="center"/>
    </xf>
    <xf numFmtId="172" fontId="17" fillId="0" borderId="6" xfId="1" applyNumberFormat="1" applyFont="1" applyFill="1" applyBorder="1" applyAlignment="1" applyProtection="1">
      <alignment vertical="center"/>
      <protection locked="0"/>
    </xf>
    <xf numFmtId="172" fontId="17" fillId="0" borderId="4" xfId="1" applyNumberFormat="1" applyFont="1" applyFill="1" applyBorder="1" applyAlignment="1" applyProtection="1">
      <alignment vertical="center"/>
      <protection locked="0"/>
    </xf>
    <xf numFmtId="173" fontId="7" fillId="5" borderId="5" xfId="4" applyNumberFormat="1" applyFont="1" applyFill="1" applyBorder="1" applyAlignment="1" applyProtection="1">
      <alignment horizontal="center" vertical="center"/>
    </xf>
    <xf numFmtId="0" fontId="7" fillId="0" borderId="3" xfId="12" applyFont="1" applyBorder="1" applyAlignment="1">
      <alignment vertical="center" wrapText="1"/>
    </xf>
    <xf numFmtId="0" fontId="7" fillId="0" borderId="4" xfId="3" applyFont="1" applyBorder="1" applyAlignment="1">
      <alignment horizontal="center" vertical="center"/>
    </xf>
    <xf numFmtId="173" fontId="6" fillId="7" borderId="4" xfId="2" applyNumberFormat="1" applyFont="1" applyFill="1" applyBorder="1" applyAlignment="1">
      <alignment horizontal="center" vertical="center"/>
    </xf>
    <xf numFmtId="0" fontId="7" fillId="0" borderId="4" xfId="3" applyFont="1" applyBorder="1" applyAlignment="1">
      <alignment horizontal="left" vertical="center" wrapText="1"/>
    </xf>
    <xf numFmtId="9" fontId="10" fillId="7" borderId="3" xfId="6" applyFont="1" applyFill="1" applyBorder="1" applyAlignment="1" applyProtection="1">
      <alignment vertical="center" wrapText="1"/>
    </xf>
    <xf numFmtId="0" fontId="7" fillId="0" borderId="0" xfId="3" applyFont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5" fillId="0" borderId="11" xfId="2" applyFont="1" applyBorder="1" applyAlignment="1">
      <alignment horizontal="center"/>
    </xf>
    <xf numFmtId="0" fontId="5" fillId="0" borderId="10" xfId="2" applyFont="1" applyBorder="1" applyAlignment="1">
      <alignment horizontal="center"/>
    </xf>
    <xf numFmtId="9" fontId="10" fillId="7" borderId="3" xfId="6" applyFont="1" applyFill="1" applyBorder="1" applyAlignment="1" applyProtection="1">
      <alignment horizontal="center" vertical="center"/>
    </xf>
    <xf numFmtId="9" fontId="10" fillId="7" borderId="3" xfId="6" applyFont="1" applyFill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7" fillId="4" borderId="3" xfId="3" quotePrefix="1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0" fontId="5" fillId="0" borderId="4" xfId="0" applyNumberFormat="1" applyFont="1" applyBorder="1" applyAlignment="1">
      <alignment horizontal="center" vertical="center"/>
    </xf>
    <xf numFmtId="1" fontId="6" fillId="12" borderId="14" xfId="0" applyNumberFormat="1" applyFont="1" applyFill="1" applyBorder="1" applyAlignment="1">
      <alignment horizontal="center" vertical="center" wrapText="1"/>
    </xf>
    <xf numFmtId="0" fontId="5" fillId="12" borderId="2" xfId="2" applyFont="1" applyFill="1" applyBorder="1" applyAlignment="1">
      <alignment horizontal="center" vertical="center"/>
    </xf>
    <xf numFmtId="0" fontId="7" fillId="3" borderId="0" xfId="2" applyFont="1" applyFill="1" applyAlignment="1">
      <alignment horizontal="center" vertical="center" wrapText="1"/>
    </xf>
    <xf numFmtId="0" fontId="7" fillId="12" borderId="2" xfId="2" applyFont="1" applyFill="1" applyBorder="1" applyAlignment="1">
      <alignment horizontal="center" vertical="center"/>
    </xf>
    <xf numFmtId="164" fontId="7" fillId="0" borderId="4" xfId="2" applyNumberFormat="1" applyFont="1" applyBorder="1" applyAlignment="1">
      <alignment horizontal="center" vertical="center"/>
    </xf>
    <xf numFmtId="0" fontId="7" fillId="0" borderId="0" xfId="2" applyFont="1" applyAlignment="1">
      <alignment vertical="center"/>
    </xf>
    <xf numFmtId="0" fontId="22" fillId="0" borderId="0" xfId="0" applyFont="1"/>
    <xf numFmtId="0" fontId="23" fillId="8" borderId="4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 wrapText="1"/>
    </xf>
    <xf numFmtId="164" fontId="23" fillId="8" borderId="4" xfId="14" applyNumberFormat="1" applyFont="1" applyFill="1" applyBorder="1" applyAlignment="1">
      <alignment horizontal="center" vertical="center" wrapText="1"/>
    </xf>
    <xf numFmtId="164" fontId="23" fillId="8" borderId="4" xfId="14" applyNumberFormat="1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4" fontId="24" fillId="3" borderId="4" xfId="0" applyNumberFormat="1" applyFont="1" applyFill="1" applyBorder="1" applyAlignment="1">
      <alignment vertical="center"/>
    </xf>
    <xf numFmtId="43" fontId="24" fillId="0" borderId="4" xfId="15" applyFont="1" applyFill="1" applyBorder="1" applyAlignment="1">
      <alignment vertical="center"/>
    </xf>
    <xf numFmtId="0" fontId="16" fillId="3" borderId="0" xfId="2" applyFont="1" applyFill="1" applyAlignment="1">
      <alignment horizontal="center" vertical="center" wrapText="1"/>
    </xf>
    <xf numFmtId="0" fontId="16" fillId="0" borderId="4" xfId="3" applyFont="1" applyBorder="1" applyAlignment="1">
      <alignment horizontal="center" vertical="center"/>
    </xf>
    <xf numFmtId="0" fontId="16" fillId="0" borderId="10" xfId="3" applyFont="1" applyBorder="1" applyAlignment="1">
      <alignment horizontal="left" vertical="center" wrapText="1"/>
    </xf>
    <xf numFmtId="166" fontId="26" fillId="0" borderId="6" xfId="7" applyNumberFormat="1" applyFont="1" applyFill="1" applyBorder="1" applyAlignment="1" applyProtection="1">
      <alignment horizontal="center" vertical="center"/>
    </xf>
    <xf numFmtId="173" fontId="16" fillId="5" borderId="5" xfId="4" applyNumberFormat="1" applyFont="1" applyFill="1" applyBorder="1" applyAlignment="1" applyProtection="1">
      <alignment horizontal="center" vertical="center"/>
    </xf>
    <xf numFmtId="172" fontId="26" fillId="0" borderId="4" xfId="1" applyNumberFormat="1" applyFont="1" applyFill="1" applyBorder="1" applyAlignment="1" applyProtection="1">
      <alignment vertical="center"/>
      <protection locked="0"/>
    </xf>
    <xf numFmtId="2" fontId="16" fillId="12" borderId="2" xfId="2" applyNumberFormat="1" applyFont="1" applyFill="1" applyBorder="1" applyAlignment="1">
      <alignment horizontal="center" vertical="center"/>
    </xf>
    <xf numFmtId="164" fontId="16" fillId="0" borderId="4" xfId="2" applyNumberFormat="1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6" fillId="12" borderId="2" xfId="2" applyFont="1" applyFill="1" applyBorder="1" applyAlignment="1">
      <alignment horizontal="center" vertical="center"/>
    </xf>
    <xf numFmtId="166" fontId="26" fillId="0" borderId="4" xfId="7" applyNumberFormat="1" applyFont="1" applyFill="1" applyBorder="1" applyAlignment="1" applyProtection="1">
      <alignment horizontal="center" vertical="center"/>
    </xf>
    <xf numFmtId="173" fontId="16" fillId="5" borderId="11" xfId="4" applyNumberFormat="1" applyFont="1" applyFill="1" applyBorder="1" applyAlignment="1" applyProtection="1">
      <alignment horizontal="center" vertical="center"/>
    </xf>
    <xf numFmtId="172" fontId="26" fillId="0" borderId="3" xfId="1" applyNumberFormat="1" applyFont="1" applyFill="1" applyBorder="1" applyAlignment="1" applyProtection="1">
      <alignment vertical="center"/>
      <protection locked="0"/>
    </xf>
    <xf numFmtId="0" fontId="16" fillId="3" borderId="0" xfId="2" applyFont="1" applyFill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43" fontId="16" fillId="5" borderId="4" xfId="4" applyFont="1" applyFill="1" applyBorder="1" applyAlignment="1" applyProtection="1">
      <alignment horizontal="center" vertical="center"/>
    </xf>
    <xf numFmtId="0" fontId="16" fillId="0" borderId="2" xfId="0" applyFont="1" applyBorder="1" applyAlignment="1">
      <alignment vertical="center" wrapText="1"/>
    </xf>
    <xf numFmtId="0" fontId="16" fillId="0" borderId="2" xfId="12" applyFont="1" applyBorder="1" applyAlignment="1">
      <alignment vertical="center" wrapText="1"/>
    </xf>
    <xf numFmtId="174" fontId="16" fillId="12" borderId="2" xfId="2" applyNumberFormat="1" applyFont="1" applyFill="1" applyBorder="1" applyAlignment="1">
      <alignment horizontal="center" vertical="center"/>
    </xf>
    <xf numFmtId="0" fontId="16" fillId="0" borderId="20" xfId="3" applyFont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/>
    </xf>
    <xf numFmtId="0" fontId="24" fillId="4" borderId="4" xfId="0" applyFont="1" applyFill="1" applyBorder="1" applyAlignment="1">
      <alignment vertical="center" wrapText="1"/>
    </xf>
    <xf numFmtId="0" fontId="24" fillId="4" borderId="4" xfId="0" applyFont="1" applyFill="1" applyBorder="1" applyAlignment="1">
      <alignment horizontal="center" vertical="center"/>
    </xf>
    <xf numFmtId="43" fontId="24" fillId="4" borderId="4" xfId="15" applyFont="1" applyFill="1" applyBorder="1" applyAlignment="1">
      <alignment horizontal="center" vertical="center"/>
    </xf>
    <xf numFmtId="0" fontId="24" fillId="0" borderId="0" xfId="0" applyFont="1"/>
    <xf numFmtId="164" fontId="22" fillId="0" borderId="0" xfId="0" applyNumberFormat="1" applyFont="1"/>
    <xf numFmtId="164" fontId="22" fillId="0" borderId="0" xfId="16" applyFont="1"/>
    <xf numFmtId="164" fontId="24" fillId="0" borderId="0" xfId="16" applyFont="1"/>
    <xf numFmtId="0" fontId="24" fillId="0" borderId="0" xfId="0" applyFont="1" applyAlignment="1">
      <alignment vertical="center"/>
    </xf>
    <xf numFmtId="4" fontId="27" fillId="0" borderId="4" xfId="0" applyNumberFormat="1" applyFont="1" applyBorder="1" applyAlignment="1">
      <alignment vertical="center"/>
    </xf>
    <xf numFmtId="43" fontId="27" fillId="0" borderId="4" xfId="0" applyNumberFormat="1" applyFont="1" applyBorder="1" applyAlignment="1">
      <alignment vertical="center"/>
    </xf>
    <xf numFmtId="164" fontId="24" fillId="0" borderId="0" xfId="16" applyFont="1" applyAlignment="1">
      <alignment vertical="center"/>
    </xf>
    <xf numFmtId="164" fontId="24" fillId="0" borderId="0" xfId="0" applyNumberFormat="1" applyFont="1" applyAlignment="1">
      <alignment vertical="center"/>
    </xf>
    <xf numFmtId="14" fontId="5" fillId="0" borderId="0" xfId="2" applyNumberFormat="1" applyFont="1" applyAlignment="1">
      <alignment horizontal="center" vertical="center"/>
    </xf>
    <xf numFmtId="171" fontId="6" fillId="0" borderId="0" xfId="2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28" fillId="0" borderId="4" xfId="2" applyFont="1" applyBorder="1" applyAlignment="1">
      <alignment horizontal="center" vertical="center" wrapText="1"/>
    </xf>
    <xf numFmtId="2" fontId="7" fillId="12" borderId="2" xfId="2" applyNumberFormat="1" applyFont="1" applyFill="1" applyBorder="1" applyAlignment="1">
      <alignment horizontal="center" vertical="center"/>
    </xf>
    <xf numFmtId="2" fontId="16" fillId="12" borderId="0" xfId="2" applyNumberFormat="1" applyFont="1" applyFill="1" applyAlignment="1">
      <alignment horizontal="center" vertical="center"/>
    </xf>
    <xf numFmtId="0" fontId="7" fillId="0" borderId="0" xfId="3" applyFont="1" applyAlignment="1">
      <alignment horizontal="right" vertical="center"/>
    </xf>
    <xf numFmtId="2" fontId="16" fillId="12" borderId="4" xfId="2" applyNumberFormat="1" applyFont="1" applyFill="1" applyBorder="1" applyAlignment="1">
      <alignment horizontal="center" vertical="center"/>
    </xf>
    <xf numFmtId="9" fontId="10" fillId="7" borderId="4" xfId="6" applyFont="1" applyFill="1" applyBorder="1" applyAlignment="1" applyProtection="1">
      <alignment vertical="center" wrapText="1"/>
    </xf>
    <xf numFmtId="0" fontId="16" fillId="12" borderId="4" xfId="2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14" borderId="0" xfId="2" applyFont="1" applyFill="1" applyAlignment="1">
      <alignment vertical="center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64" fontId="24" fillId="0" borderId="0" xfId="16" applyFont="1" applyAlignment="1">
      <alignment horizontal="center" vertical="center"/>
    </xf>
    <xf numFmtId="2" fontId="16" fillId="14" borderId="2" xfId="2" applyNumberFormat="1" applyFont="1" applyFill="1" applyBorder="1" applyAlignment="1">
      <alignment horizontal="center" vertical="center"/>
    </xf>
    <xf numFmtId="0" fontId="16" fillId="14" borderId="2" xfId="2" applyFont="1" applyFill="1" applyBorder="1" applyAlignment="1">
      <alignment horizontal="center" vertical="center"/>
    </xf>
    <xf numFmtId="2" fontId="7" fillId="14" borderId="2" xfId="2" applyNumberFormat="1" applyFont="1" applyFill="1" applyBorder="1" applyAlignment="1">
      <alignment horizontal="center" vertical="center"/>
    </xf>
    <xf numFmtId="0" fontId="5" fillId="14" borderId="2" xfId="2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169" fontId="11" fillId="8" borderId="4" xfId="2" applyNumberFormat="1" applyFont="1" applyFill="1" applyBorder="1" applyAlignment="1">
      <alignment horizontal="center" vertical="center"/>
    </xf>
    <xf numFmtId="169" fontId="11" fillId="8" borderId="2" xfId="2" applyNumberFormat="1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7" fillId="14" borderId="2" xfId="2" applyFont="1" applyFill="1" applyBorder="1" applyAlignment="1">
      <alignment horizontal="center" vertical="center"/>
    </xf>
  </cellXfs>
  <cellStyles count="25">
    <cellStyle name="Comma" xfId="16" builtinId="3"/>
    <cellStyle name="Comma [0] 10" xfId="11" xr:uid="{4BE90EA3-940B-427A-A808-30CB8BF72B5C}"/>
    <cellStyle name="Comma [0] 10 2" xfId="18" xr:uid="{E5824D18-3EAB-4B95-847E-DBB92E9009B7}"/>
    <cellStyle name="Comma 2" xfId="4" xr:uid="{00000000-0005-0000-0000-000002000000}"/>
    <cellStyle name="Comma 2 2" xfId="14" xr:uid="{DA2C17AC-F640-4628-B47D-E0CCC6B1E4E3}"/>
    <cellStyle name="Comma 2 2 2" xfId="19" xr:uid="{A5340D76-3D3D-41EA-AAB7-4981DFCB9E80}"/>
    <cellStyle name="Comma 2 3" xfId="17" xr:uid="{B7421C7D-6298-4192-9BC3-3377CC3B97FD}"/>
    <cellStyle name="Comma 3" xfId="21" xr:uid="{D3CA0890-DF89-446D-980C-A122D1FDCCD0}"/>
    <cellStyle name="Comma 3 2" xfId="15" xr:uid="{C8A797F4-5FB3-4776-BDE7-B967282CCD8E}"/>
    <cellStyle name="Comma 3 2 2" xfId="20" xr:uid="{5533CDCD-5436-463F-B134-671BD924D3F6}"/>
    <cellStyle name="Comma 4" xfId="22" xr:uid="{5885EFD7-32F3-4B3F-9A4A-575C1812EE51}"/>
    <cellStyle name="Comma 5" xfId="23" xr:uid="{31AAA8EB-3C0D-4DD2-A20D-B0A9C853C761}"/>
    <cellStyle name="Comma 6" xfId="24" xr:uid="{3D3BE41A-7CF1-4BCD-B887-10033D527313}"/>
    <cellStyle name="Comma_DRC BOQ- Cost Prices_Brolaz &amp; Anderson Pricing_30.11.01" xfId="7" xr:uid="{00000000-0005-0000-0000-000003000000}"/>
    <cellStyle name="Normal" xfId="0" builtinId="0"/>
    <cellStyle name="Normal 10 10" xfId="9" xr:uid="{00000000-0005-0000-0000-000005000000}"/>
    <cellStyle name="Normal 124" xfId="8" xr:uid="{00000000-0005-0000-0000-000006000000}"/>
    <cellStyle name="Normal 2" xfId="2" xr:uid="{00000000-0005-0000-0000-000007000000}"/>
    <cellStyle name="Normal 2 2" xfId="12" xr:uid="{AED19662-6F96-424C-873D-5E4F52E4E050}"/>
    <cellStyle name="Normal 2 2 2 4" xfId="5" xr:uid="{00000000-0005-0000-0000-000008000000}"/>
    <cellStyle name="Normal 3" xfId="10" xr:uid="{4F8DB164-678D-4AD0-A0A0-4CB9BD1C9505}"/>
    <cellStyle name="Normal_DRC BOQ- Cost Prices_Brolaz &amp; Anderson Pricing_30.11.01" xfId="3" xr:uid="{00000000-0005-0000-0000-000009000000}"/>
    <cellStyle name="Note" xfId="1" builtinId="10"/>
    <cellStyle name="Procent 2 3" xfId="6" xr:uid="{00000000-0005-0000-0000-00000B000000}"/>
    <cellStyle name="Procent 2 3 2" xfId="13" xr:uid="{329ABAFD-4726-45FC-8D81-13F6D78333C8}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raka Andrew" id="{C0A1EE9A-6183-40B1-A348-00767A11CF1A}" userId="S::BAndrew@heliostowers.com::8a83602f-cf57-4280-a129-eb7415ac787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5" dT="2022-11-03T14:49:20.74" personId="{C0A1EE9A-6183-40B1-A348-00767A11CF1A}" id="{8F7D535F-61CE-4D09-960A-A0261BB8B6D1}">
    <text>HTT to negotiate with Nabaki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B204"/>
  <sheetViews>
    <sheetView showGridLines="0" zoomScale="86" zoomScaleNormal="60" zoomScaleSheetLayoutView="100" workbookViewId="0">
      <pane xSplit="7" ySplit="5" topLeftCell="AT24" activePane="bottomRight" state="frozen"/>
      <selection pane="topRight" activeCell="H1" sqref="H1"/>
      <selection pane="bottomLeft" activeCell="A6" sqref="A6"/>
      <selection pane="bottomRight" activeCell="AU19" sqref="AU19"/>
    </sheetView>
  </sheetViews>
  <sheetFormatPr defaultColWidth="12.140625" defaultRowHeight="13.5"/>
  <cols>
    <col min="1" max="1" width="6" style="8" customWidth="1"/>
    <col min="2" max="2" width="3.42578125" style="8" customWidth="1"/>
    <col min="3" max="3" width="8" style="9" customWidth="1"/>
    <col min="4" max="4" width="109.140625" style="10" customWidth="1"/>
    <col min="5" max="5" width="8" style="94" customWidth="1"/>
    <col min="6" max="6" width="15.140625" style="30" bestFit="1" customWidth="1"/>
    <col min="7" max="7" width="15.42578125" style="31" bestFit="1" customWidth="1"/>
    <col min="8" max="8" width="14.140625" style="12" customWidth="1"/>
    <col min="9" max="9" width="16.85546875" style="12" bestFit="1" customWidth="1"/>
    <col min="10" max="10" width="2" style="7" customWidth="1"/>
    <col min="11" max="11" width="14.85546875" style="7" bestFit="1" customWidth="1"/>
    <col min="12" max="12" width="18.5703125" style="7" customWidth="1"/>
    <col min="13" max="13" width="2.5703125" style="7" customWidth="1"/>
    <col min="14" max="14" width="12.140625" style="7" customWidth="1"/>
    <col min="15" max="15" width="17.85546875" style="7" bestFit="1" customWidth="1"/>
    <col min="16" max="16" width="1.7109375" style="7" customWidth="1"/>
    <col min="17" max="17" width="12.140625" style="7"/>
    <col min="18" max="18" width="19.5703125" style="7" customWidth="1"/>
    <col min="19" max="19" width="1.42578125" style="7" customWidth="1"/>
    <col min="20" max="20" width="16.140625" style="7" customWidth="1"/>
    <col min="21" max="21" width="17.85546875" style="7" customWidth="1"/>
    <col min="22" max="22" width="2.140625" style="7" customWidth="1"/>
    <col min="23" max="23" width="12.140625" style="7"/>
    <col min="24" max="24" width="17.85546875" style="7" bestFit="1" customWidth="1"/>
    <col min="25" max="25" width="2" style="7" customWidth="1"/>
    <col min="26" max="26" width="15" style="7" customWidth="1"/>
    <col min="27" max="27" width="17.5703125" style="7" customWidth="1"/>
    <col min="28" max="28" width="1.140625" style="7" customWidth="1"/>
    <col min="29" max="29" width="14.28515625" style="7" customWidth="1"/>
    <col min="30" max="30" width="17.42578125" style="7" customWidth="1"/>
    <col min="31" max="31" width="1.7109375" style="7" customWidth="1"/>
    <col min="32" max="32" width="15" style="7" customWidth="1"/>
    <col min="33" max="33" width="18.85546875" style="7" bestFit="1" customWidth="1"/>
    <col min="34" max="34" width="1.7109375" style="7" customWidth="1"/>
    <col min="35" max="35" width="16.28515625" style="7" customWidth="1"/>
    <col min="36" max="36" width="21.7109375" style="7" customWidth="1"/>
    <col min="37" max="37" width="2" style="7" customWidth="1"/>
    <col min="38" max="38" width="14.42578125" style="7" customWidth="1"/>
    <col min="39" max="39" width="19.28515625" style="7" customWidth="1"/>
    <col min="40" max="40" width="2" style="7" customWidth="1"/>
    <col min="41" max="41" width="15.140625" style="7" customWidth="1"/>
    <col min="42" max="42" width="17.42578125" style="7" customWidth="1"/>
    <col min="43" max="43" width="1.7109375" style="7" customWidth="1"/>
    <col min="44" max="44" width="12.140625" style="7"/>
    <col min="45" max="45" width="17.85546875" style="7" bestFit="1" customWidth="1"/>
    <col min="46" max="46" width="2.28515625" style="7" customWidth="1"/>
    <col min="47" max="47" width="12.140625" style="7"/>
    <col min="48" max="48" width="17.85546875" style="7" bestFit="1" customWidth="1"/>
    <col min="49" max="49" width="3" style="7" customWidth="1"/>
    <col min="50" max="50" width="12.140625" style="7"/>
    <col min="51" max="51" width="16.7109375" style="7" bestFit="1" customWidth="1"/>
    <col min="52" max="52" width="2.85546875" style="7" customWidth="1"/>
    <col min="53" max="53" width="12.140625" style="7"/>
    <col min="54" max="54" width="17.85546875" style="7" bestFit="1" customWidth="1"/>
    <col min="55" max="16384" width="12.140625" style="7"/>
  </cols>
  <sheetData>
    <row r="2" spans="1:54">
      <c r="A2" s="7"/>
      <c r="B2" s="7"/>
      <c r="C2" s="8"/>
      <c r="D2" s="9"/>
      <c r="E2" s="84"/>
      <c r="F2" s="11"/>
      <c r="G2" s="11"/>
    </row>
    <row r="3" spans="1:54" ht="24" customHeight="1">
      <c r="A3" s="7"/>
      <c r="B3" s="7"/>
      <c r="C3" s="43" t="s">
        <v>4</v>
      </c>
      <c r="D3" s="44"/>
      <c r="E3" s="44" t="s">
        <v>5</v>
      </c>
      <c r="F3" s="169">
        <v>46175</v>
      </c>
      <c r="G3" s="170"/>
      <c r="H3" s="147"/>
      <c r="I3" s="148"/>
    </row>
    <row r="4" spans="1:54" ht="15" customHeight="1">
      <c r="A4" s="7"/>
      <c r="B4" s="7"/>
      <c r="C4" s="44" t="s">
        <v>6</v>
      </c>
      <c r="D4" s="45" t="s">
        <v>7</v>
      </c>
      <c r="E4" s="171"/>
      <c r="F4" s="171"/>
      <c r="G4" s="172"/>
      <c r="H4" s="149"/>
      <c r="I4" s="149"/>
    </row>
    <row r="5" spans="1:54" ht="15" customHeight="1">
      <c r="A5" s="7"/>
      <c r="B5" s="7"/>
      <c r="C5" s="43" t="s">
        <v>8</v>
      </c>
      <c r="D5" s="44"/>
      <c r="E5" s="44"/>
      <c r="F5" s="44"/>
      <c r="G5" s="44"/>
      <c r="H5" s="13"/>
    </row>
    <row r="6" spans="1:54" ht="21.75" customHeight="1">
      <c r="A6" s="7"/>
      <c r="B6" s="7"/>
      <c r="C6" s="166"/>
      <c r="D6" s="167"/>
      <c r="E6" s="167"/>
      <c r="F6" s="167"/>
      <c r="G6" s="168"/>
      <c r="H6" s="14"/>
      <c r="I6" s="14">
        <v>1</v>
      </c>
      <c r="L6" s="12">
        <v>2</v>
      </c>
      <c r="O6" s="12">
        <v>3</v>
      </c>
      <c r="R6" s="8">
        <v>4</v>
      </c>
      <c r="U6" s="12">
        <v>5</v>
      </c>
      <c r="X6" s="8">
        <v>6</v>
      </c>
      <c r="AA6" s="8">
        <v>7</v>
      </c>
      <c r="AD6" s="12">
        <v>8</v>
      </c>
      <c r="AG6" s="12">
        <v>9</v>
      </c>
      <c r="AJ6" s="12">
        <v>10</v>
      </c>
      <c r="AM6" s="12">
        <v>11</v>
      </c>
      <c r="AP6" s="12">
        <v>12</v>
      </c>
      <c r="AR6" s="14"/>
      <c r="AS6" s="14">
        <v>13</v>
      </c>
      <c r="AU6" s="14"/>
      <c r="AV6" s="14">
        <v>14</v>
      </c>
      <c r="AX6" s="14"/>
      <c r="AY6" s="14">
        <v>15</v>
      </c>
      <c r="BA6" s="14"/>
      <c r="BB6" s="14">
        <v>16</v>
      </c>
    </row>
    <row r="7" spans="1:54" s="1" customFormat="1" ht="15" customHeight="1">
      <c r="C7" s="40"/>
      <c r="D7" s="74" t="s">
        <v>26</v>
      </c>
      <c r="E7" s="85"/>
      <c r="F7" s="41"/>
      <c r="G7" s="42"/>
      <c r="H7" s="64" t="s">
        <v>18</v>
      </c>
      <c r="I7" s="150" t="s">
        <v>77</v>
      </c>
      <c r="K7" s="64" t="s">
        <v>18</v>
      </c>
      <c r="L7" s="150" t="s">
        <v>79</v>
      </c>
      <c r="N7" s="64" t="s">
        <v>18</v>
      </c>
      <c r="O7" s="150" t="s">
        <v>81</v>
      </c>
      <c r="Q7" s="64" t="s">
        <v>18</v>
      </c>
      <c r="R7" s="150" t="s">
        <v>83</v>
      </c>
      <c r="T7" s="64" t="s">
        <v>18</v>
      </c>
      <c r="U7" s="150" t="s">
        <v>85</v>
      </c>
      <c r="W7" s="64" t="s">
        <v>18</v>
      </c>
      <c r="X7" s="150" t="s">
        <v>87</v>
      </c>
      <c r="Z7" s="64" t="s">
        <v>18</v>
      </c>
      <c r="AA7" s="150" t="s">
        <v>89</v>
      </c>
      <c r="AC7" s="64" t="s">
        <v>18</v>
      </c>
      <c r="AD7" s="150" t="s">
        <v>91</v>
      </c>
      <c r="AF7" s="64" t="s">
        <v>18</v>
      </c>
      <c r="AG7" s="150" t="s">
        <v>93</v>
      </c>
      <c r="AI7" s="64" t="s">
        <v>18</v>
      </c>
      <c r="AJ7" s="150" t="s">
        <v>95</v>
      </c>
      <c r="AL7" s="64" t="s">
        <v>18</v>
      </c>
      <c r="AM7" s="150" t="s">
        <v>97</v>
      </c>
      <c r="AO7" s="64" t="s">
        <v>18</v>
      </c>
      <c r="AP7" s="150" t="s">
        <v>99</v>
      </c>
      <c r="AR7" s="64" t="s">
        <v>18</v>
      </c>
      <c r="AS7" s="150" t="s">
        <v>101</v>
      </c>
      <c r="AU7" s="64" t="s">
        <v>18</v>
      </c>
      <c r="AV7" s="150" t="s">
        <v>104</v>
      </c>
      <c r="AX7" s="64" t="s">
        <v>18</v>
      </c>
      <c r="AY7" s="150" t="s">
        <v>106</v>
      </c>
      <c r="BA7" s="64" t="s">
        <v>18</v>
      </c>
      <c r="BB7" s="150" t="s">
        <v>108</v>
      </c>
    </row>
    <row r="8" spans="1:54" s="15" customFormat="1" ht="15" customHeight="1">
      <c r="A8" s="8"/>
      <c r="B8" s="8"/>
      <c r="C8" s="32"/>
      <c r="D8" s="33"/>
      <c r="E8" s="86"/>
      <c r="F8" s="34"/>
      <c r="G8" s="35"/>
      <c r="H8" s="65" t="s">
        <v>11</v>
      </c>
      <c r="I8" s="150" t="s">
        <v>78</v>
      </c>
      <c r="K8" s="65" t="s">
        <v>11</v>
      </c>
      <c r="L8" s="150" t="s">
        <v>80</v>
      </c>
      <c r="N8" s="65" t="s">
        <v>11</v>
      </c>
      <c r="O8" s="150" t="s">
        <v>82</v>
      </c>
      <c r="Q8" s="65" t="s">
        <v>11</v>
      </c>
      <c r="R8" s="150" t="s">
        <v>84</v>
      </c>
      <c r="T8" s="65" t="s">
        <v>11</v>
      </c>
      <c r="U8" s="150" t="s">
        <v>86</v>
      </c>
      <c r="W8" s="65" t="s">
        <v>11</v>
      </c>
      <c r="X8" s="150" t="s">
        <v>88</v>
      </c>
      <c r="Z8" s="65" t="s">
        <v>11</v>
      </c>
      <c r="AA8" s="150" t="s">
        <v>90</v>
      </c>
      <c r="AC8" s="65" t="s">
        <v>11</v>
      </c>
      <c r="AD8" s="150" t="s">
        <v>92</v>
      </c>
      <c r="AF8" s="65" t="s">
        <v>11</v>
      </c>
      <c r="AG8" s="150" t="s">
        <v>94</v>
      </c>
      <c r="AI8" s="65" t="s">
        <v>11</v>
      </c>
      <c r="AJ8" s="150" t="s">
        <v>96</v>
      </c>
      <c r="AL8" s="65" t="s">
        <v>11</v>
      </c>
      <c r="AM8" s="150" t="s">
        <v>98</v>
      </c>
      <c r="AO8" s="65" t="s">
        <v>11</v>
      </c>
      <c r="AP8" s="150" t="s">
        <v>100</v>
      </c>
      <c r="AR8" s="65" t="s">
        <v>11</v>
      </c>
      <c r="AS8" s="150" t="s">
        <v>102</v>
      </c>
      <c r="AU8" s="65" t="s">
        <v>11</v>
      </c>
      <c r="AV8" s="150" t="s">
        <v>105</v>
      </c>
      <c r="AX8" s="65" t="s">
        <v>11</v>
      </c>
      <c r="AY8" s="150" t="s">
        <v>107</v>
      </c>
      <c r="BA8" s="65" t="s">
        <v>11</v>
      </c>
      <c r="BB8" s="150" t="s">
        <v>109</v>
      </c>
    </row>
    <row r="9" spans="1:54" s="15" customFormat="1" ht="15" customHeight="1">
      <c r="A9" s="8"/>
      <c r="B9" s="8"/>
      <c r="C9" s="36"/>
      <c r="D9" s="37"/>
      <c r="E9" s="87"/>
      <c r="F9" s="38"/>
      <c r="G9" s="39"/>
      <c r="H9" s="65" t="s">
        <v>19</v>
      </c>
      <c r="I9" s="150" t="s">
        <v>75</v>
      </c>
      <c r="K9" s="65" t="s">
        <v>19</v>
      </c>
      <c r="L9" s="150" t="s">
        <v>75</v>
      </c>
      <c r="N9" s="65" t="s">
        <v>19</v>
      </c>
      <c r="O9" s="150" t="s">
        <v>76</v>
      </c>
      <c r="Q9" s="65" t="s">
        <v>19</v>
      </c>
      <c r="R9" s="150" t="s">
        <v>75</v>
      </c>
      <c r="T9" s="65" t="s">
        <v>19</v>
      </c>
      <c r="U9" s="150" t="s">
        <v>75</v>
      </c>
      <c r="W9" s="65" t="s">
        <v>19</v>
      </c>
      <c r="X9" s="150" t="s">
        <v>76</v>
      </c>
      <c r="Z9" s="65" t="s">
        <v>19</v>
      </c>
      <c r="AA9" s="150" t="s">
        <v>76</v>
      </c>
      <c r="AC9" s="65" t="s">
        <v>19</v>
      </c>
      <c r="AD9" s="150" t="s">
        <v>76</v>
      </c>
      <c r="AF9" s="65" t="s">
        <v>19</v>
      </c>
      <c r="AG9" s="150" t="s">
        <v>76</v>
      </c>
      <c r="AI9" s="65" t="s">
        <v>19</v>
      </c>
      <c r="AJ9" s="150" t="s">
        <v>76</v>
      </c>
      <c r="AL9" s="65" t="s">
        <v>19</v>
      </c>
      <c r="AM9" s="150" t="s">
        <v>76</v>
      </c>
      <c r="AO9" s="65" t="s">
        <v>19</v>
      </c>
      <c r="AP9" s="150" t="s">
        <v>76</v>
      </c>
      <c r="AR9" s="65" t="s">
        <v>19</v>
      </c>
      <c r="AS9" s="150" t="s">
        <v>103</v>
      </c>
      <c r="AU9" s="65" t="s">
        <v>19</v>
      </c>
      <c r="AV9" s="150" t="s">
        <v>103</v>
      </c>
      <c r="AX9" s="65" t="s">
        <v>19</v>
      </c>
      <c r="AY9" s="150" t="s">
        <v>103</v>
      </c>
      <c r="BA9" s="65" t="s">
        <v>19</v>
      </c>
      <c r="BB9" s="150" t="s">
        <v>103</v>
      </c>
    </row>
    <row r="10" spans="1:54" s="12" customFormat="1" ht="38.25">
      <c r="A10" s="16"/>
      <c r="B10" s="16"/>
      <c r="C10" s="17" t="s">
        <v>0</v>
      </c>
      <c r="D10" s="17" t="s">
        <v>9</v>
      </c>
      <c r="E10" s="18" t="s">
        <v>1</v>
      </c>
      <c r="F10" s="19" t="s">
        <v>21</v>
      </c>
      <c r="G10" s="19" t="s">
        <v>20</v>
      </c>
      <c r="H10" s="97" t="s">
        <v>10</v>
      </c>
      <c r="I10" s="2" t="s">
        <v>22</v>
      </c>
      <c r="K10" s="97" t="s">
        <v>10</v>
      </c>
      <c r="L10" s="2" t="s">
        <v>22</v>
      </c>
      <c r="N10" s="97" t="s">
        <v>10</v>
      </c>
      <c r="O10" s="2" t="s">
        <v>22</v>
      </c>
      <c r="Q10" s="97" t="s">
        <v>10</v>
      </c>
      <c r="R10" s="2" t="s">
        <v>22</v>
      </c>
      <c r="T10" s="97" t="s">
        <v>10</v>
      </c>
      <c r="U10" s="2" t="s">
        <v>22</v>
      </c>
      <c r="W10" s="97" t="s">
        <v>10</v>
      </c>
      <c r="X10" s="2" t="s">
        <v>22</v>
      </c>
      <c r="Z10" s="97" t="s">
        <v>10</v>
      </c>
      <c r="AA10" s="2" t="s">
        <v>22</v>
      </c>
      <c r="AC10" s="97" t="s">
        <v>10</v>
      </c>
      <c r="AD10" s="2" t="s">
        <v>22</v>
      </c>
      <c r="AF10" s="97" t="s">
        <v>10</v>
      </c>
      <c r="AG10" s="2" t="s">
        <v>22</v>
      </c>
      <c r="AI10" s="97" t="s">
        <v>10</v>
      </c>
      <c r="AJ10" s="2" t="s">
        <v>22</v>
      </c>
      <c r="AL10" s="97" t="s">
        <v>10</v>
      </c>
      <c r="AM10" s="2" t="s">
        <v>22</v>
      </c>
      <c r="AO10" s="97" t="s">
        <v>10</v>
      </c>
      <c r="AP10" s="2" t="s">
        <v>22</v>
      </c>
      <c r="AR10" s="97" t="s">
        <v>10</v>
      </c>
      <c r="AS10" s="2" t="s">
        <v>22</v>
      </c>
      <c r="AU10" s="97" t="s">
        <v>10</v>
      </c>
      <c r="AV10" s="2" t="s">
        <v>22</v>
      </c>
      <c r="AX10" s="97" t="s">
        <v>10</v>
      </c>
      <c r="AY10" s="2" t="s">
        <v>22</v>
      </c>
      <c r="BA10" s="97" t="s">
        <v>10</v>
      </c>
      <c r="BB10" s="2" t="s">
        <v>22</v>
      </c>
    </row>
    <row r="11" spans="1:54" s="25" customFormat="1">
      <c r="A11" s="8"/>
      <c r="B11" s="8"/>
      <c r="C11" s="20">
        <v>1</v>
      </c>
      <c r="D11" s="21" t="s">
        <v>27</v>
      </c>
      <c r="E11" s="88"/>
      <c r="F11" s="22"/>
      <c r="G11" s="22"/>
      <c r="H11" s="60"/>
      <c r="I11" s="81">
        <f>SUM(I12:I20)</f>
        <v>4771906.4049731446</v>
      </c>
      <c r="K11" s="60"/>
      <c r="L11" s="81">
        <f>SUM(L12:L20)</f>
        <v>3017020.3082133555</v>
      </c>
      <c r="N11" s="60"/>
      <c r="O11" s="81">
        <f>SUM(O12:O20)</f>
        <v>5091506.0613213535</v>
      </c>
      <c r="Q11" s="60"/>
      <c r="R11" s="81">
        <f>SUM(R12:R20)</f>
        <v>6162354.8360645603</v>
      </c>
      <c r="T11" s="60"/>
      <c r="U11" s="81">
        <f>SUM(U12:U20)</f>
        <v>5208004.8126813844</v>
      </c>
      <c r="W11" s="60"/>
      <c r="X11" s="81">
        <f>SUM(X12:X20)</f>
        <v>8263619.8584681954</v>
      </c>
      <c r="Z11" s="60"/>
      <c r="AA11" s="81">
        <f>SUM(AA12:AA20)</f>
        <v>2432583.6061141454</v>
      </c>
      <c r="AC11" s="60"/>
      <c r="AD11" s="81">
        <f>SUM(AD12:AD20)</f>
        <v>2242050.5585581791</v>
      </c>
      <c r="AF11" s="60"/>
      <c r="AG11" s="81">
        <f>SUM(AG12:AG20)</f>
        <v>3998110.4368202481</v>
      </c>
      <c r="AI11" s="60"/>
      <c r="AJ11" s="81">
        <f>SUM(AJ12:AJ20)</f>
        <v>999656.16886326415</v>
      </c>
      <c r="AL11" s="60"/>
      <c r="AM11" s="81">
        <f>SUM(AM12:AM20)</f>
        <v>4363664.629788165</v>
      </c>
      <c r="AO11" s="60"/>
      <c r="AP11" s="81">
        <f>SUM(AP12:AP20)</f>
        <v>8306590.9424889442</v>
      </c>
      <c r="AR11" s="60"/>
      <c r="AS11" s="81">
        <f>SUM(AS12:AS20)</f>
        <v>3768317.3651445871</v>
      </c>
      <c r="AU11" s="60"/>
      <c r="AV11" s="81">
        <f>SUM(AV12:AV20)</f>
        <v>6360590.8423030907</v>
      </c>
      <c r="AX11" s="60"/>
      <c r="AY11" s="81">
        <f>SUM(AY12:AY20)</f>
        <v>4744447.6962869633</v>
      </c>
      <c r="BA11" s="60"/>
      <c r="BB11" s="81">
        <f>SUM(BB12:BB20)</f>
        <v>10412119.671126535</v>
      </c>
    </row>
    <row r="12" spans="1:54" s="102" customFormat="1" ht="33">
      <c r="A12" s="99"/>
      <c r="B12" s="99"/>
      <c r="C12" s="80" t="s">
        <v>29</v>
      </c>
      <c r="D12" s="79" t="s">
        <v>71</v>
      </c>
      <c r="E12" s="75" t="s">
        <v>31</v>
      </c>
      <c r="F12" s="78">
        <v>712571.3854583099</v>
      </c>
      <c r="G12" s="76">
        <v>355786.59290374024</v>
      </c>
      <c r="H12" s="100"/>
      <c r="I12" s="101">
        <f>H12*($F12+$G12)</f>
        <v>0</v>
      </c>
      <c r="K12" s="100"/>
      <c r="L12" s="101">
        <f>K12*($F12+$G12)</f>
        <v>0</v>
      </c>
      <c r="N12" s="100">
        <f>(0.5*3*0.4*1*11)*0.2</f>
        <v>1.3200000000000003</v>
      </c>
      <c r="O12" s="101">
        <f>N12*($F12+$G12)</f>
        <v>1410232.5314379064</v>
      </c>
      <c r="Q12" s="100"/>
      <c r="R12" s="101">
        <f>Q12*($F12+$G12)</f>
        <v>0</v>
      </c>
      <c r="T12" s="100"/>
      <c r="U12" s="101">
        <f>T12*($F12+$G12)</f>
        <v>0</v>
      </c>
      <c r="W12" s="100"/>
      <c r="X12" s="101">
        <f>W12*($F12+$G12)</f>
        <v>0</v>
      </c>
      <c r="Z12" s="151"/>
      <c r="AA12" s="101">
        <f>Z12*($F12+$G12)</f>
        <v>0</v>
      </c>
      <c r="AC12" s="151"/>
      <c r="AD12" s="101">
        <f>AC12*($F12+$G12)</f>
        <v>0</v>
      </c>
      <c r="AF12" s="100"/>
      <c r="AG12" s="101">
        <f>AF12*($F12+$G12)</f>
        <v>0</v>
      </c>
      <c r="AI12" s="100"/>
      <c r="AJ12" s="101">
        <f>AI12*($F12+$G12)</f>
        <v>0</v>
      </c>
      <c r="AL12" s="100"/>
      <c r="AM12" s="101">
        <f>AL12*($F12+$G12)</f>
        <v>0</v>
      </c>
      <c r="AO12" s="100"/>
      <c r="AP12" s="101">
        <f>AO12*($F12+$G12)</f>
        <v>0</v>
      </c>
      <c r="AR12" s="100"/>
      <c r="AS12" s="101">
        <f>AR12*($F12+$G12)</f>
        <v>0</v>
      </c>
      <c r="AU12" s="100"/>
      <c r="AV12" s="101">
        <f>AU12*($F12+$G12)</f>
        <v>0</v>
      </c>
      <c r="AX12" s="173">
        <f>(27.6*1.1*0.2)*0.3</f>
        <v>1.8216000000000001</v>
      </c>
      <c r="AY12" s="101">
        <f>AX12*($F12+$G12)</f>
        <v>1946120.8933843106</v>
      </c>
      <c r="BA12" s="100"/>
      <c r="BB12" s="101">
        <f>BA12*($F12+$G12)</f>
        <v>0</v>
      </c>
    </row>
    <row r="13" spans="1:54" s="102" customFormat="1" ht="27">
      <c r="A13" s="99"/>
      <c r="B13" s="99"/>
      <c r="C13" s="80" t="s">
        <v>30</v>
      </c>
      <c r="D13" s="82" t="s">
        <v>52</v>
      </c>
      <c r="E13" s="75" t="s">
        <v>31</v>
      </c>
      <c r="F13" s="78">
        <v>58300</v>
      </c>
      <c r="G13" s="77">
        <v>9637.350818777295</v>
      </c>
      <c r="H13" s="164">
        <f>(H15)*0.1</f>
        <v>12.444000000000003</v>
      </c>
      <c r="I13" s="101">
        <f t="shared" ref="I13:I20" si="0">H13*($F13+$G13)</f>
        <v>845412.39358886483</v>
      </c>
      <c r="K13" s="117">
        <f>(((8.1*8.1)-((1.5*1.5*4)+(1.2*2.4)+(1.7*2.4)+(2.55*3.16)+(1*2)+(0.5*0.5)+(1*1)))*0.1)</f>
        <v>3.8342000000000001</v>
      </c>
      <c r="L13" s="101">
        <f t="shared" ref="L13:L20" si="1">K13*($F13+$G13)</f>
        <v>260485.3905093559</v>
      </c>
      <c r="N13" s="117">
        <f>((12.1*12.1)-((1*1*5)+(1*2)+(0.5*0.5*2)+(2.8*3.5)+(1.05*1.55)+(2*3)+(1.7*2.4)))*0.1</f>
        <v>11.740250000000001</v>
      </c>
      <c r="O13" s="101">
        <f>N13*($F13+$G13)</f>
        <v>797601.48295015027</v>
      </c>
      <c r="Q13" s="162">
        <f>(((15*15)-((0.8*0.8*6)+(2.5*3.2*3)+(0.45*0.7)+(1.3*2.4)+(0.31*0.31*12)+(0.4*1.9*6)))*0.1)</f>
        <v>18.801179999999999</v>
      </c>
      <c r="R13" s="101">
        <f>Q13*($F13+$G13)</f>
        <v>1277302.3614669791</v>
      </c>
      <c r="T13" s="162">
        <f>(((10*10)-((1.8*1.8*4)+(2.6*3.3)+(0.45*0.68)+(0.5*0.7)+(1.2*2.6)+(1.7*2.4)))*0.1)</f>
        <v>7.0604000000000005</v>
      </c>
      <c r="U13" s="101">
        <f>T13*($F13+$G13)</f>
        <v>479664.87172089523</v>
      </c>
      <c r="W13" s="117">
        <f>((12.1*12.1)-((0.6*0.6*4)+(0.4*1.9*12)+(0.9*0.9*3)+(0.55*0.7)+(1.3*2.4)))*0.15</f>
        <v>19.48725</v>
      </c>
      <c r="X13" s="101">
        <f>W13*($F13+$G13)</f>
        <v>1323912.1397432177</v>
      </c>
      <c r="Z13" s="117">
        <f>(((6*7.5)-((1*1*2)+(0.5*0.7)+(0.62*2.68)+(0.5*0.5)+(0.45*2.65)))*(0.15))</f>
        <v>5.9318850000000003</v>
      </c>
      <c r="AA13" s="101">
        <f>Z13*($F13+$G13)</f>
        <v>402996.55226164276</v>
      </c>
      <c r="AC13" s="117">
        <f>(((6.6*7.72)-((0.5*0.8)+(1*1.56)+(0.4*1.2*4)+(0.98*1)+(1.63*2.75)+(0.8*0.8)+(1*1)+(0.42*2.6*2)))*0.1)</f>
        <v>3.7785500000000001</v>
      </c>
      <c r="AD13" s="101">
        <f>AC13*($F13+$G13)</f>
        <v>256704.67693629095</v>
      </c>
      <c r="AF13" s="117">
        <f>(((8.12*8.57)-((1*1*2)+(0.4*2.8*2)+(0.45*2.65)+(2.41*2.79)+(0.8*0.8)+(0.35*3.08)+(0.5*0.82)))*(0.15))</f>
        <v>8.2955999999999985</v>
      </c>
      <c r="AG13" s="101">
        <f>AF13*($F13+$G13)</f>
        <v>563581.08745224879</v>
      </c>
      <c r="AI13" s="117">
        <f>((5.4*5.6)-((1*1*2)+(0.5*2.74*2)+(0.4*0.4)+(0.4*1.2*4)+(0.8*0.8)+(2.7*2.85)+(0.5*0.8)))*0.2</f>
        <v>2.9369999999999994</v>
      </c>
      <c r="AJ13" s="101">
        <f>AI13*($F13+$G13)</f>
        <v>199531.99935474887</v>
      </c>
      <c r="AL13" s="117">
        <f>((((8.04*8.04)-(0.6*0.6*4)+(1*2)+(0.5*0.5*2)+(2.6*3.2)+(1.23*2.5)+(1.2*2)+(0.8*1)))*0.2)</f>
        <v>16.059319999999996</v>
      </c>
      <c r="AM13" s="101">
        <f>AL13*($F13+$G13)</f>
        <v>1091027.6567510064</v>
      </c>
      <c r="AO13" s="117">
        <f>((((12*12)-((0.5*0.5*3)+(3.5*3.5)+(0.5*0.7)+(1.13*1.63)+(0.76*0.76*2)))*0.15))</f>
        <v>19.147935</v>
      </c>
      <c r="AP13" s="101">
        <f>AO13*($F13+$G13)</f>
        <v>1300859.9775501445</v>
      </c>
      <c r="AR13" s="151">
        <f>AR15*0.15</f>
        <v>17.094595649999999</v>
      </c>
      <c r="AS13" s="101">
        <f>AR13*($F13+$G13)</f>
        <v>1161361.5417791943</v>
      </c>
      <c r="AU13" s="151">
        <f>(AU15)*0.18</f>
        <v>25.468874999999993</v>
      </c>
      <c r="AV13" s="101">
        <f>AU13*($F13+$G13)</f>
        <v>1730287.8958345861</v>
      </c>
      <c r="AX13" s="151">
        <f>(AX15/2)*0.1</f>
        <v>4.0767925000000016</v>
      </c>
      <c r="AY13" s="101">
        <f>AX13*($F13+$G13)</f>
        <v>276966.48228786024</v>
      </c>
      <c r="BA13" s="151">
        <f>((((12*10)-((3*3.5*2)+(1.2*2.1)+(1.7*1.7*3)+(0.9*1*2)))+((6*6)-((2.6*3.4)+(1.1*2.5))))*0.1*1.21)</f>
        <v>13.360820000000002</v>
      </c>
      <c r="BB13" s="101">
        <f>BA13*($F13+$G13)</f>
        <v>907698.71556653618</v>
      </c>
    </row>
    <row r="14" spans="1:54" s="119" customFormat="1" ht="16.5">
      <c r="A14" s="111"/>
      <c r="B14" s="111"/>
      <c r="C14" s="112" t="s">
        <v>32</v>
      </c>
      <c r="D14" s="113" t="s">
        <v>56</v>
      </c>
      <c r="E14" s="114" t="s">
        <v>42</v>
      </c>
      <c r="F14" s="115">
        <v>35000</v>
      </c>
      <c r="G14" s="116">
        <v>0</v>
      </c>
      <c r="H14" s="164">
        <v>2</v>
      </c>
      <c r="I14" s="118">
        <f t="shared" si="0"/>
        <v>70000</v>
      </c>
      <c r="K14" s="120"/>
      <c r="L14" s="118">
        <f t="shared" si="1"/>
        <v>0</v>
      </c>
      <c r="N14" s="120">
        <v>3</v>
      </c>
      <c r="O14" s="118">
        <f>N14*($F14+$G14)</f>
        <v>105000</v>
      </c>
      <c r="Q14" s="120"/>
      <c r="R14" s="118">
        <f t="shared" ref="R14:R20" si="2">Q14*($F14+$G14)</f>
        <v>0</v>
      </c>
      <c r="T14" s="120">
        <v>1</v>
      </c>
      <c r="U14" s="118">
        <f>T14*($F14+$G14)</f>
        <v>35000</v>
      </c>
      <c r="W14" s="120"/>
      <c r="X14" s="118">
        <f>W14*($F14+$G14)</f>
        <v>0</v>
      </c>
      <c r="Z14" s="120"/>
      <c r="AA14" s="118">
        <f>Z14*($F14+$G14)</f>
        <v>0</v>
      </c>
      <c r="AC14" s="120">
        <v>1</v>
      </c>
      <c r="AD14" s="118">
        <f>AC14*($F14+$G14)</f>
        <v>35000</v>
      </c>
      <c r="AF14" s="120"/>
      <c r="AG14" s="118">
        <f>AF14*($F14+$G14)</f>
        <v>0</v>
      </c>
      <c r="AI14" s="120"/>
      <c r="AJ14" s="118">
        <f>AI14*($F14+$G14)</f>
        <v>0</v>
      </c>
      <c r="AL14" s="120">
        <v>2</v>
      </c>
      <c r="AM14" s="118">
        <f>AL14*($F14+$G14)</f>
        <v>70000</v>
      </c>
      <c r="AO14" s="120"/>
      <c r="AP14" s="118">
        <f>AO14*($F14+$G14)</f>
        <v>0</v>
      </c>
      <c r="AR14" s="120">
        <v>2</v>
      </c>
      <c r="AS14" s="118">
        <f>AR14*($F14+$G14)</f>
        <v>70000</v>
      </c>
      <c r="AU14" s="120">
        <v>2</v>
      </c>
      <c r="AV14" s="118">
        <f>AU14*($F14+$G14)</f>
        <v>70000</v>
      </c>
      <c r="AX14" s="120">
        <v>2</v>
      </c>
      <c r="AY14" s="118">
        <f>AX14*($F14+$G14)</f>
        <v>70000</v>
      </c>
      <c r="BA14" s="120"/>
      <c r="BB14" s="118">
        <f>BA14*($F14+$G14)</f>
        <v>0</v>
      </c>
    </row>
    <row r="15" spans="1:54" s="119" customFormat="1" ht="40.5">
      <c r="A15" s="111"/>
      <c r="B15" s="111"/>
      <c r="C15" s="112" t="s">
        <v>33</v>
      </c>
      <c r="D15" s="133" t="s">
        <v>74</v>
      </c>
      <c r="E15" s="114" t="s">
        <v>28</v>
      </c>
      <c r="F15" s="115">
        <v>4500</v>
      </c>
      <c r="G15" s="116">
        <v>1071</v>
      </c>
      <c r="H15" s="162">
        <f>(((12*12.15)-((0.7*0.7*4)+(1.3*2.4)+(0.8*0.8*3)+(0.4*1.9*11)+(2*3))))</f>
        <v>124.44000000000001</v>
      </c>
      <c r="I15" s="118">
        <f t="shared" si="0"/>
        <v>693255.24000000011</v>
      </c>
      <c r="K15" s="117"/>
      <c r="L15" s="118">
        <f>K15*($F15+$G15)</f>
        <v>0</v>
      </c>
      <c r="N15" s="117">
        <f>((12.1*12.1)-((1*1*5)+(1*2)+(0.5*0.5*2)+(2.8*3.5)+(1.05*1.55)+(2*3)+(1.7*2.4)))</f>
        <v>117.4025</v>
      </c>
      <c r="O15" s="118">
        <f>N15*($F15+$G15)</f>
        <v>654049.32750000001</v>
      </c>
      <c r="Q15" s="162">
        <f>(((15*15)-((0.8*0.8*6)+(2.5*3.2*3)+(0.45*0.7)+(1.3*2.4)+(0.31*0.31*12)+(0.4*1.9*6))))</f>
        <v>188.01179999999999</v>
      </c>
      <c r="R15" s="118">
        <f>Q15*($F15+$G15)</f>
        <v>1047413.7378</v>
      </c>
      <c r="T15" s="117"/>
      <c r="U15" s="118">
        <f>T15*($F15+$G15)</f>
        <v>0</v>
      </c>
      <c r="W15" s="117"/>
      <c r="X15" s="118">
        <f>W15*($F15+$G15)</f>
        <v>0</v>
      </c>
      <c r="Z15" s="162">
        <f>(((6*7.5)-((1*1*2)+(0.5*0.7)+(0.62*2.68)+(0.5*0.5)+(0.45*2.65))))</f>
        <v>39.545900000000003</v>
      </c>
      <c r="AA15" s="118">
        <f>Z15*($F15+$G15)</f>
        <v>220310.20890000003</v>
      </c>
      <c r="AC15" s="117">
        <f>(((6.6*7.72)-((0.5*0.8)+(1*1.56)+(0.4*1.2*4)+(0.98*1)+(1.63*2.75)+(0.8*0.8)+(1*1)+(0.42*2.6*2)))*1.21)</f>
        <v>45.720454999999994</v>
      </c>
      <c r="AD15" s="118">
        <f>AC15*($F15+$G15)</f>
        <v>254708.65480499997</v>
      </c>
      <c r="AF15" s="117"/>
      <c r="AG15" s="118">
        <f>AF15*($F15+$G15)</f>
        <v>0</v>
      </c>
      <c r="AI15" s="117">
        <f>((5.4*5.6)-((1*1*2)+(0.5*2.74*2)+(0.4*0.4)+(0.4*1.2*4)+(0.8*0.8)+(2.7*2.85)+(0.5*0.8)))</f>
        <v>14.684999999999997</v>
      </c>
      <c r="AJ15" s="118">
        <f>AI15*($F15+$G15)</f>
        <v>81810.13499999998</v>
      </c>
      <c r="AL15" s="117">
        <f>((((8.04*8.04)-(0.6*0.6*4)+(1*2)+(0.5*0.5*2)+(2.6*3.2)+(1.23*2.5)+(1.2*2)+(0.8*1)))*1.21)</f>
        <v>97.158885999999981</v>
      </c>
      <c r="AM15" s="118">
        <f>AL15*($F15+$G15)</f>
        <v>541272.15390599985</v>
      </c>
      <c r="AO15" s="117"/>
      <c r="AP15" s="118">
        <f>AO15*($F15+$G15)</f>
        <v>0</v>
      </c>
      <c r="AR15" s="117">
        <f>(((11*11)-((1*2.5)+(0.8*0.8*3)+(1*2*2)+(1*1)+(0.5*0.5*2)+(1.5*2.5)+(2.4*5.4)+(0.43*0.43)))*1.21)</f>
        <v>113.963971</v>
      </c>
      <c r="AS15" s="118">
        <f>AR15*($F15+$G15)</f>
        <v>634893.28244099999</v>
      </c>
      <c r="AU15" s="117">
        <f>(((11.5*11.5)-((0.55*0.7)+(0.7*0.7*3)+(0.4*1.9*14)+(1.3*2.4)+(1*2)+(0.6*0.6*4)))*1.25)</f>
        <v>141.49374999999998</v>
      </c>
      <c r="AV15" s="118">
        <f>AU15*($F15+$G15)</f>
        <v>788261.68124999991</v>
      </c>
      <c r="AX15" s="117">
        <f>((7.65*7.65)-((0.7*0.7*4)+(1.2*2)+(2.8*3.3)+(1.3*2.5)+(1*1*2)+(0.45*0.7)+(0.45*0.5)+(1.2*2.2)+(1*2.8)))*2*1.21</f>
        <v>81.535850000000025</v>
      </c>
      <c r="AY15" s="118">
        <f>AX15*($F15+$G15)</f>
        <v>454236.22035000013</v>
      </c>
      <c r="BA15" s="117"/>
      <c r="BB15" s="118">
        <f>BA15*($F15+$G15)</f>
        <v>0</v>
      </c>
    </row>
    <row r="16" spans="1:54" s="119" customFormat="1" ht="27">
      <c r="A16" s="111"/>
      <c r="B16" s="111"/>
      <c r="C16" s="112" t="s">
        <v>34</v>
      </c>
      <c r="D16" s="113" t="s">
        <v>53</v>
      </c>
      <c r="E16" s="114" t="s">
        <v>31</v>
      </c>
      <c r="F16" s="115">
        <v>120000</v>
      </c>
      <c r="G16" s="116">
        <v>11801.52707423581</v>
      </c>
      <c r="H16" s="152">
        <f>H15*0.1</f>
        <v>12.444000000000003</v>
      </c>
      <c r="I16" s="118">
        <f t="shared" si="0"/>
        <v>1640138.2029117907</v>
      </c>
      <c r="K16" s="154"/>
      <c r="L16" s="118">
        <f t="shared" si="1"/>
        <v>0</v>
      </c>
      <c r="N16" s="152">
        <f>N15*0.1</f>
        <v>11.740250000000001</v>
      </c>
      <c r="O16" s="118">
        <f t="shared" ref="O16:O20" si="3">N16*($F16+$G16)</f>
        <v>1547382.8782332973</v>
      </c>
      <c r="Q16" s="162">
        <f>(((15*15)-((0.8*0.8*6)+(2.5*3.2*3)+(0.45*0.7)+(1.3*2.4)+(0.31*0.31*12)+(0.4*1.9*6))))*0.1</f>
        <v>18.801179999999999</v>
      </c>
      <c r="R16" s="118">
        <f t="shared" si="2"/>
        <v>2478024.2347975806</v>
      </c>
      <c r="T16" s="154"/>
      <c r="U16" s="118">
        <f t="shared" ref="U16:U20" si="4">T16*($F16+$G16)</f>
        <v>0</v>
      </c>
      <c r="W16" s="154"/>
      <c r="X16" s="118">
        <f t="shared" ref="X16:X20" si="5">W16*($F16+$G16)</f>
        <v>0</v>
      </c>
      <c r="Z16" s="162">
        <f>(((6*7.5)-((1*1*2)+(0.5*0.7)+(0.62*2.68)+(0.5*0.5)+(0.45*2.65))))*0.1</f>
        <v>3.9545900000000005</v>
      </c>
      <c r="AA16" s="118">
        <f t="shared" ref="AA16:AA20" si="6">Z16*($F16+$G16)</f>
        <v>521221.00095250225</v>
      </c>
      <c r="AC16" s="152">
        <f>AC15*0.1</f>
        <v>4.5720454999999998</v>
      </c>
      <c r="AD16" s="118">
        <f t="shared" ref="AD16:AD20" si="7">AC16*($F16+$G16)</f>
        <v>602602.57875288802</v>
      </c>
      <c r="AF16" s="154"/>
      <c r="AG16" s="118">
        <f t="shared" ref="AG16:AG20" si="8">AF16*($F16+$G16)</f>
        <v>0</v>
      </c>
      <c r="AI16" s="117">
        <f>((5.4*5.6)-((1*1*2)+(0.5*2.74*2)+(0.4*0.4)+(0.4*1.2*4)+(0.8*0.8)+(2.7*2.85)+(0.5*0.8)))*0.1</f>
        <v>1.4684999999999997</v>
      </c>
      <c r="AJ16" s="118">
        <f>AI16*($F16+$G16)</f>
        <v>193550.54250851524</v>
      </c>
      <c r="AL16" s="152">
        <f>AL15*0.1</f>
        <v>9.7158885999999995</v>
      </c>
      <c r="AM16" s="118">
        <f>AL16*($F16+$G16)</f>
        <v>1280568.9543631589</v>
      </c>
      <c r="AO16" s="152"/>
      <c r="AP16" s="118">
        <f>AO16*($F16+$G16)</f>
        <v>0</v>
      </c>
      <c r="AR16" s="152">
        <f>(AR15*0.1)</f>
        <v>11.396397100000002</v>
      </c>
      <c r="AS16" s="118">
        <f>AR16*($F16+$G16)</f>
        <v>1502062.5409243926</v>
      </c>
      <c r="AU16" s="152">
        <f>(AU15*0.1)</f>
        <v>14.149374999999999</v>
      </c>
      <c r="AV16" s="118">
        <f>AU16*($F16+$G16)</f>
        <v>1864909.2321460152</v>
      </c>
      <c r="AX16" s="152">
        <f>(AX15*0.1)/2</f>
        <v>4.0767925000000016</v>
      </c>
      <c r="AY16" s="118">
        <f>AX16*($F16+$G16)</f>
        <v>537327.47706479172</v>
      </c>
      <c r="BA16" s="152"/>
      <c r="BB16" s="118">
        <f>BA16*($F16+$G16)</f>
        <v>0</v>
      </c>
    </row>
    <row r="17" spans="1:54" s="119" customFormat="1" ht="16.5">
      <c r="A17" s="111"/>
      <c r="B17" s="111"/>
      <c r="C17" s="112" t="s">
        <v>35</v>
      </c>
      <c r="D17" s="113" t="s">
        <v>72</v>
      </c>
      <c r="E17" s="114" t="s">
        <v>31</v>
      </c>
      <c r="F17" s="115">
        <v>374325</v>
      </c>
      <c r="G17" s="116">
        <v>102732.72</v>
      </c>
      <c r="H17" s="117"/>
      <c r="I17" s="118">
        <f t="shared" si="0"/>
        <v>0</v>
      </c>
      <c r="K17" s="117">
        <f>(((8.1*8.1)-((1.5*1.5*4)+(1.2*2.4)+(1.7*2.4)+(2.55*3.16)+(1*2)+(0.5*0.5)+(1*1)))*0.1)</f>
        <v>3.8342000000000001</v>
      </c>
      <c r="L17" s="118">
        <f t="shared" si="1"/>
        <v>1829134.7100239999</v>
      </c>
      <c r="N17" s="117"/>
      <c r="O17" s="118">
        <f t="shared" si="3"/>
        <v>0</v>
      </c>
      <c r="Q17" s="162"/>
      <c r="R17" s="118">
        <f t="shared" si="2"/>
        <v>0</v>
      </c>
      <c r="T17" s="117">
        <f>(((10*10)-((1.8*1.8*4)+(2.6*3.3)+(0.45*0.68)+(0.5*0.7)+(1.2*2.6)+(1.7*2.4)))*0.1)</f>
        <v>7.0604000000000005</v>
      </c>
      <c r="U17" s="118">
        <f t="shared" si="4"/>
        <v>3368218.3262880002</v>
      </c>
      <c r="W17" s="117">
        <f>((12.1*12.1)-((0.6*0.6*4)+(0.4*1.9*12)+(0.9*0.9*3)+(0.55*0.7)+(1.3*2.4)))*0.1</f>
        <v>12.9915</v>
      </c>
      <c r="X17" s="118">
        <f>W17*($F17+$G17)</f>
        <v>6197695.36938</v>
      </c>
      <c r="Z17" s="162"/>
      <c r="AA17" s="118">
        <f t="shared" si="6"/>
        <v>0</v>
      </c>
      <c r="AC17" s="117"/>
      <c r="AD17" s="118">
        <f t="shared" si="7"/>
        <v>0</v>
      </c>
      <c r="AF17" s="117">
        <f>(((8.12*8.57)-((1*1*2)+(0.4*2.8*2)+(0.45*2.65)+(2.41*2.79)+(0.8*0.8)+(0.35*3.08)+(0.5*0.82)))*(0.1))</f>
        <v>5.5303999999999993</v>
      </c>
      <c r="AG17" s="118">
        <f>AF17*($F17+$G17)</f>
        <v>2638320.0146879996</v>
      </c>
      <c r="AI17" s="117"/>
      <c r="AJ17" s="118">
        <f t="shared" ref="AJ17:AJ18" si="9">AI17*($F17+$G17)</f>
        <v>0</v>
      </c>
      <c r="AL17" s="117"/>
      <c r="AM17" s="118">
        <f t="shared" ref="AM17:AM18" si="10">AL17*($F17+$G17)</f>
        <v>0</v>
      </c>
      <c r="AO17" s="117">
        <f>((((12*12)-((0.5*0.5*3)+(3.5*3.5)+(0.5*0.7)+(1.13*1.63)+(0.76*0.76*2)))*0.1))</f>
        <v>12.76529</v>
      </c>
      <c r="AP17" s="118">
        <f t="shared" ref="AP17:AP18" si="11">AO17*($F17+$G17)</f>
        <v>6089780.1425387999</v>
      </c>
      <c r="AR17" s="117"/>
      <c r="AS17" s="118">
        <f t="shared" ref="AS17:AS18" si="12">AR17*($F17+$G17)</f>
        <v>0</v>
      </c>
      <c r="AU17" s="117"/>
      <c r="AV17" s="118">
        <f t="shared" ref="AV17:AV18" si="13">AU17*($F17+$G17)</f>
        <v>0</v>
      </c>
      <c r="AX17" s="117"/>
      <c r="AY17" s="118">
        <f t="shared" ref="AY17:AY18" si="14">AX17*($F17+$G17)</f>
        <v>0</v>
      </c>
      <c r="BA17" s="117">
        <f>((((12*10)-((3*3.5*2)+(1.2*2.1)+(1.7*1.7*3)+(0.9*1*2)))+((6*6)-((2.6*3.4)+(1.1*2.5))))*0.1)+((((12*10)-((3*3.5*2)+(1.2*2.1)+(1.7*1.7*3)+(0.9*1*2)))+((6*6)-((2.6*3.4)+(1.1*2.5))))*0.05)</f>
        <v>16.563000000000002</v>
      </c>
      <c r="BB17" s="118">
        <f>BA17*($F17+$G17)</f>
        <v>7901507.0163600007</v>
      </c>
    </row>
    <row r="18" spans="1:54" s="119" customFormat="1" ht="16.5">
      <c r="A18" s="111"/>
      <c r="B18" s="111"/>
      <c r="C18" s="112" t="s">
        <v>36</v>
      </c>
      <c r="D18" s="113" t="s">
        <v>73</v>
      </c>
      <c r="E18" s="114" t="s">
        <v>31</v>
      </c>
      <c r="F18" s="115">
        <v>374325</v>
      </c>
      <c r="G18" s="116">
        <v>102732.72</v>
      </c>
      <c r="H18" s="162">
        <f>((12+12.15)*2*0.5*0.1)</f>
        <v>2.415</v>
      </c>
      <c r="I18" s="118">
        <f t="shared" si="0"/>
        <v>1152094.3938</v>
      </c>
      <c r="K18" s="117">
        <f>(8.1*4*0.6*0.1)</f>
        <v>1.944</v>
      </c>
      <c r="L18" s="118">
        <f t="shared" si="1"/>
        <v>927400.20767999988</v>
      </c>
      <c r="N18" s="117">
        <f>(12.1*2)*0.5*0.1</f>
        <v>1.21</v>
      </c>
      <c r="O18" s="118">
        <f t="shared" si="3"/>
        <v>577239.84119999991</v>
      </c>
      <c r="Q18" s="117">
        <f>(15+15+15+12)*0.5*0.1</f>
        <v>2.85</v>
      </c>
      <c r="R18" s="118">
        <f t="shared" si="2"/>
        <v>1359614.5019999999</v>
      </c>
      <c r="T18" s="117">
        <f>(10*4)*0.5*0.1</f>
        <v>2</v>
      </c>
      <c r="U18" s="118">
        <f t="shared" si="4"/>
        <v>954115.44</v>
      </c>
      <c r="W18" s="117"/>
      <c r="X18" s="118">
        <f t="shared" si="5"/>
        <v>0</v>
      </c>
      <c r="Z18" s="120">
        <f>(6+7.5)*2*1*0.1</f>
        <v>2.7</v>
      </c>
      <c r="AA18" s="118">
        <f t="shared" si="6"/>
        <v>1288055.844</v>
      </c>
      <c r="AC18" s="117">
        <f>((6.6+7.72)*2*0.5*0.1)+((6.6+7.72)*2*2.5*0.02*0.6)</f>
        <v>2.2911999999999999</v>
      </c>
      <c r="AD18" s="118">
        <f t="shared" si="7"/>
        <v>1093034.6480639998</v>
      </c>
      <c r="AF18" s="117">
        <f>(8.12+8.57)*2*0.5*0.1</f>
        <v>1.6689999999999998</v>
      </c>
      <c r="AG18" s="118">
        <f t="shared" si="8"/>
        <v>796209.33467999985</v>
      </c>
      <c r="AI18" s="117">
        <f>(5.4+5.6)*2*0.5*0.1</f>
        <v>1.1000000000000001</v>
      </c>
      <c r="AJ18" s="118">
        <f t="shared" si="9"/>
        <v>524763.49199999997</v>
      </c>
      <c r="AL18" s="117">
        <f>(8.04*4*0.9*0.1)</f>
        <v>2.8944000000000001</v>
      </c>
      <c r="AM18" s="118">
        <f t="shared" si="10"/>
        <v>1380795.8647679999</v>
      </c>
      <c r="AO18" s="117">
        <f>12*4*0.4*0.1</f>
        <v>1.9200000000000004</v>
      </c>
      <c r="AP18" s="118">
        <f t="shared" si="11"/>
        <v>915950.82240000018</v>
      </c>
      <c r="AR18" s="120"/>
      <c r="AS18" s="118">
        <f t="shared" si="12"/>
        <v>0</v>
      </c>
      <c r="AU18" s="120">
        <f>(11.5*4*0.7*0.1)</f>
        <v>3.2199999999999998</v>
      </c>
      <c r="AV18" s="118">
        <f t="shared" si="13"/>
        <v>1536125.8583999998</v>
      </c>
      <c r="AX18" s="162">
        <f>((7.65+7.65)*2*1*0.1)</f>
        <v>3.0600000000000005</v>
      </c>
      <c r="AY18" s="118">
        <f t="shared" si="14"/>
        <v>1459796.6232000003</v>
      </c>
      <c r="BA18" s="120">
        <f>(12*4)*0.7*0.1</f>
        <v>3.3599999999999994</v>
      </c>
      <c r="BB18" s="118">
        <f t="shared" ref="BB18" si="15">BA18*($F18+$G18)</f>
        <v>1602913.9391999997</v>
      </c>
    </row>
    <row r="19" spans="1:54" s="119" customFormat="1" ht="16.5">
      <c r="A19" s="111"/>
      <c r="B19" s="111"/>
      <c r="C19" s="112" t="s">
        <v>55</v>
      </c>
      <c r="D19" s="113" t="s">
        <v>58</v>
      </c>
      <c r="E19" s="121" t="s">
        <v>59</v>
      </c>
      <c r="F19" s="122">
        <v>252198.903930131</v>
      </c>
      <c r="G19" s="123">
        <v>118807.27074235807</v>
      </c>
      <c r="H19" s="120">
        <v>1</v>
      </c>
      <c r="I19" s="118">
        <f>H19*($F19+$G19)</f>
        <v>371006.17467248905</v>
      </c>
      <c r="K19" s="120"/>
      <c r="L19" s="118">
        <f>K19*($F19+$G19)</f>
        <v>0</v>
      </c>
      <c r="N19" s="120"/>
      <c r="O19" s="118">
        <f>N19*($F19+$G19)</f>
        <v>0</v>
      </c>
      <c r="Q19" s="120"/>
      <c r="R19" s="118">
        <f>Q19*($F19+$G19)</f>
        <v>0</v>
      </c>
      <c r="T19" s="120">
        <v>1</v>
      </c>
      <c r="U19" s="118">
        <f>T19*($F19+$G19)</f>
        <v>371006.17467248905</v>
      </c>
      <c r="W19" s="120">
        <v>2</v>
      </c>
      <c r="X19" s="118">
        <f>W19*($F19+$G19)</f>
        <v>742012.34934497811</v>
      </c>
      <c r="Z19" s="120"/>
      <c r="AA19" s="118">
        <f>Z19*($F19+$G19)</f>
        <v>0</v>
      </c>
      <c r="AC19" s="120"/>
      <c r="AD19" s="118">
        <f>AC19*($F19+$G19)</f>
        <v>0</v>
      </c>
      <c r="AF19" s="120"/>
      <c r="AG19" s="118">
        <f>AF19*($F19+$G19)</f>
        <v>0</v>
      </c>
      <c r="AI19" s="120"/>
      <c r="AJ19" s="118">
        <f>AI19*($F19+$G19)</f>
        <v>0</v>
      </c>
      <c r="AL19" s="120"/>
      <c r="AM19" s="118">
        <f>AL19*($F19+$G19)</f>
        <v>0</v>
      </c>
      <c r="AO19" s="120"/>
      <c r="AP19" s="118">
        <f>AO19*($F19+$G19)</f>
        <v>0</v>
      </c>
      <c r="AR19" s="120"/>
      <c r="AS19" s="118">
        <f>AR19*($F19+$G19)</f>
        <v>0</v>
      </c>
      <c r="AU19" s="120">
        <v>1</v>
      </c>
      <c r="AV19" s="118">
        <f>AU19*($F19+$G19)</f>
        <v>371006.17467248905</v>
      </c>
      <c r="AX19" s="120"/>
      <c r="AY19" s="118">
        <f>AX19*($F19+$G19)</f>
        <v>0</v>
      </c>
      <c r="BA19" s="120"/>
      <c r="BB19" s="118">
        <f>BA19*($F19+$G19)</f>
        <v>0</v>
      </c>
    </row>
    <row r="20" spans="1:54" s="119" customFormat="1" ht="16.5">
      <c r="A20" s="111"/>
      <c r="B20" s="111"/>
      <c r="C20" s="112" t="s">
        <v>57</v>
      </c>
      <c r="D20" s="113" t="s">
        <v>60</v>
      </c>
      <c r="E20" s="121" t="s">
        <v>42</v>
      </c>
      <c r="F20" s="122">
        <v>300000</v>
      </c>
      <c r="G20" s="123">
        <v>100000</v>
      </c>
      <c r="H20" s="120"/>
      <c r="I20" s="118">
        <f t="shared" si="0"/>
        <v>0</v>
      </c>
      <c r="K20" s="120"/>
      <c r="L20" s="118">
        <f t="shared" si="1"/>
        <v>0</v>
      </c>
      <c r="N20" s="120"/>
      <c r="O20" s="118">
        <f t="shared" si="3"/>
        <v>0</v>
      </c>
      <c r="Q20" s="120"/>
      <c r="R20" s="118">
        <f t="shared" si="2"/>
        <v>0</v>
      </c>
      <c r="T20" s="120"/>
      <c r="U20" s="118">
        <f t="shared" si="4"/>
        <v>0</v>
      </c>
      <c r="W20" s="120"/>
      <c r="X20" s="118">
        <f t="shared" si="5"/>
        <v>0</v>
      </c>
      <c r="Z20" s="120"/>
      <c r="AA20" s="118">
        <f t="shared" si="6"/>
        <v>0</v>
      </c>
      <c r="AC20" s="120"/>
      <c r="AD20" s="118">
        <f t="shared" si="7"/>
        <v>0</v>
      </c>
      <c r="AF20" s="120"/>
      <c r="AG20" s="118">
        <f t="shared" si="8"/>
        <v>0</v>
      </c>
      <c r="AI20" s="120"/>
      <c r="AJ20" s="118">
        <f>AI20*($F20+$G20)</f>
        <v>0</v>
      </c>
      <c r="AL20" s="120"/>
      <c r="AM20" s="118">
        <f>AL20*($F20+$G20)</f>
        <v>0</v>
      </c>
      <c r="AO20" s="120"/>
      <c r="AP20" s="118">
        <f>AO20*($F20+$G20)</f>
        <v>0</v>
      </c>
      <c r="AR20" s="120">
        <v>1</v>
      </c>
      <c r="AS20" s="118">
        <f>AR20*($F20+$G20)</f>
        <v>400000</v>
      </c>
      <c r="AU20" s="120"/>
      <c r="AV20" s="118">
        <f>AU20*($F20+$G20)</f>
        <v>0</v>
      </c>
      <c r="AX20" s="120"/>
      <c r="AY20" s="118">
        <f>AX20*($F20+$G20)</f>
        <v>0</v>
      </c>
      <c r="BA20" s="120"/>
      <c r="BB20" s="118">
        <f>BA20*($F20+$G20)</f>
        <v>0</v>
      </c>
    </row>
    <row r="21" spans="1:54" s="25" customFormat="1">
      <c r="A21" s="8"/>
      <c r="B21" s="8"/>
      <c r="C21" s="20">
        <v>2</v>
      </c>
      <c r="D21" s="21" t="s">
        <v>37</v>
      </c>
      <c r="E21" s="88"/>
      <c r="F21" s="22"/>
      <c r="G21" s="22"/>
      <c r="H21" s="60"/>
      <c r="I21" s="81">
        <f>SUM(I22:I26)</f>
        <v>324946.51372925763</v>
      </c>
      <c r="K21" s="60"/>
      <c r="L21" s="81">
        <f>SUM(L22:L26)</f>
        <v>2418806.657987773</v>
      </c>
      <c r="N21" s="60"/>
      <c r="O21" s="81">
        <f>SUM(O22:O26)</f>
        <v>649893.02745851525</v>
      </c>
      <c r="Q21" s="60"/>
      <c r="R21" s="81">
        <f>SUM(R22:R26)</f>
        <v>2058044.408387773</v>
      </c>
      <c r="T21" s="60"/>
      <c r="U21" s="81">
        <f>SUM(U22:U26)</f>
        <v>2901913.2893170305</v>
      </c>
      <c r="W21" s="60"/>
      <c r="X21" s="81">
        <f>SUM(X22:X26)</f>
        <v>1654839.541187773</v>
      </c>
      <c r="Z21" s="60"/>
      <c r="AA21" s="81">
        <f>SUM(AA22:AA26)</f>
        <v>680000</v>
      </c>
      <c r="AC21" s="60"/>
      <c r="AD21" s="81">
        <f>SUM(AD22:AD26)</f>
        <v>0</v>
      </c>
      <c r="AF21" s="60"/>
      <c r="AG21" s="81">
        <f>SUM(AG22:AG26)</f>
        <v>2136302.7618585154</v>
      </c>
      <c r="AI21" s="60"/>
      <c r="AJ21" s="81">
        <f>SUM(AJ22:AJ26)</f>
        <v>1117220.8802585152</v>
      </c>
      <c r="AL21" s="60"/>
      <c r="AM21" s="81">
        <f>SUM(AM22:AM26)</f>
        <v>0</v>
      </c>
      <c r="AO21" s="60"/>
      <c r="AP21" s="81">
        <f>SUM(AP22:AP26)</f>
        <v>1796302.7618585154</v>
      </c>
      <c r="AR21" s="60"/>
      <c r="AS21" s="81">
        <f>SUM(AS22:AS26)</f>
        <v>873711.51870851521</v>
      </c>
      <c r="AU21" s="60"/>
      <c r="AV21" s="81">
        <f>SUM(AV22:AV26)</f>
        <v>324946.51372925763</v>
      </c>
      <c r="AX21" s="60"/>
      <c r="AY21" s="81">
        <f>SUM(AY22:AY26)</f>
        <v>0</v>
      </c>
      <c r="BA21" s="60"/>
      <c r="BB21" s="81">
        <f>SUM(BB22:BB26)</f>
        <v>649893.02745851525</v>
      </c>
    </row>
    <row r="22" spans="1:54" s="119" customFormat="1" ht="27">
      <c r="A22" s="124"/>
      <c r="B22" s="124"/>
      <c r="C22" s="125" t="s">
        <v>39</v>
      </c>
      <c r="D22" s="126" t="s">
        <v>38</v>
      </c>
      <c r="E22" s="114" t="s">
        <v>31</v>
      </c>
      <c r="F22" s="115">
        <f>465000*1.15</f>
        <v>534750</v>
      </c>
      <c r="G22" s="116">
        <f>111666*1.15</f>
        <v>128415.9</v>
      </c>
      <c r="H22" s="117"/>
      <c r="I22" s="118">
        <f t="shared" ref="I22:I26" si="16">H22*($F22+$G22)</f>
        <v>0</v>
      </c>
      <c r="K22" s="117">
        <f>(1.8*0.4*0.4*2)*2</f>
        <v>1.1520000000000001</v>
      </c>
      <c r="L22" s="118">
        <f t="shared" ref="L22:L26" si="17">K22*($F22+$G22)</f>
        <v>763967.11680000008</v>
      </c>
      <c r="N22" s="117"/>
      <c r="O22" s="118">
        <f t="shared" ref="O22:O26" si="18">N22*($F22+$G22)</f>
        <v>0</v>
      </c>
      <c r="Q22" s="162">
        <f>(0.4*0.4*1.9*2)</f>
        <v>0.6080000000000001</v>
      </c>
      <c r="R22" s="118">
        <f t="shared" ref="R22:R26" si="19">Q22*($F22+$G22)</f>
        <v>403204.8672000001</v>
      </c>
      <c r="T22" s="162">
        <f>(0.4*0.4*1.9*4)</f>
        <v>1.2160000000000002</v>
      </c>
      <c r="U22" s="118">
        <f t="shared" ref="U22:U26" si="20">T22*($F22+$G22)</f>
        <v>806409.73440000019</v>
      </c>
      <c r="W22" s="117"/>
      <c r="X22" s="118">
        <f t="shared" ref="X22:X26" si="21">W22*($F22+$G22)</f>
        <v>0</v>
      </c>
      <c r="Z22" s="162"/>
      <c r="AA22" s="118">
        <f t="shared" ref="AA22:AA26" si="22">Z22*($F22+$G22)</f>
        <v>0</v>
      </c>
      <c r="AC22" s="117"/>
      <c r="AD22" s="118">
        <f t="shared" ref="AD22:AD26" si="23">AC22*($F22+$G22)</f>
        <v>0</v>
      </c>
      <c r="AF22" s="117">
        <f>0.4*0.4*1.9*4</f>
        <v>1.2160000000000002</v>
      </c>
      <c r="AG22" s="118">
        <f t="shared" ref="AG22:AG26" si="24">AF22*($F22+$G22)</f>
        <v>806409.73440000019</v>
      </c>
      <c r="AI22" s="117">
        <f>0.4*0.4*1.2</f>
        <v>0.19200000000000003</v>
      </c>
      <c r="AJ22" s="118">
        <f t="shared" ref="AJ22:AJ26" si="25">AI22*($F22+$G22)</f>
        <v>127327.85280000002</v>
      </c>
      <c r="AL22" s="117"/>
      <c r="AM22" s="118">
        <f t="shared" ref="AM22:AM26" si="26">AL22*($F22+$G22)</f>
        <v>0</v>
      </c>
      <c r="AO22" s="117">
        <f>0.4*0.4*1.9*4</f>
        <v>1.2160000000000002</v>
      </c>
      <c r="AP22" s="118">
        <f t="shared" ref="AP22:AP26" si="27">AO22*($F22+$G22)</f>
        <v>806409.73440000019</v>
      </c>
      <c r="AR22" s="117">
        <f>1.5*2.5*0.3*0.3</f>
        <v>0.33749999999999997</v>
      </c>
      <c r="AS22" s="118">
        <f t="shared" ref="AS22:AS26" si="28">AR22*($F22+$G22)</f>
        <v>223818.49124999999</v>
      </c>
      <c r="AU22" s="120"/>
      <c r="AV22" s="118">
        <f t="shared" ref="AV22:AV26" si="29">AU22*($F22+$G22)</f>
        <v>0</v>
      </c>
      <c r="AX22" s="117"/>
      <c r="AY22" s="118">
        <f t="shared" ref="AY22:AY26" si="30">AX22*($F22+$G22)</f>
        <v>0</v>
      </c>
      <c r="BA22" s="117"/>
      <c r="BB22" s="118">
        <f t="shared" ref="BB22:BB26" si="31">BA22*($F22+$G22)</f>
        <v>0</v>
      </c>
    </row>
    <row r="23" spans="1:54" s="119" customFormat="1" ht="27">
      <c r="A23" s="124"/>
      <c r="B23" s="124"/>
      <c r="C23" s="125" t="s">
        <v>40</v>
      </c>
      <c r="D23" s="126" t="s">
        <v>41</v>
      </c>
      <c r="E23" s="127" t="s">
        <v>42</v>
      </c>
      <c r="F23" s="115"/>
      <c r="G23" s="116">
        <v>150000</v>
      </c>
      <c r="H23" s="120"/>
      <c r="I23" s="118">
        <f t="shared" si="16"/>
        <v>0</v>
      </c>
      <c r="K23" s="120"/>
      <c r="L23" s="118">
        <f t="shared" si="17"/>
        <v>0</v>
      </c>
      <c r="N23" s="117"/>
      <c r="O23" s="118">
        <f t="shared" si="18"/>
        <v>0</v>
      </c>
      <c r="Q23" s="120"/>
      <c r="R23" s="118">
        <f t="shared" si="19"/>
        <v>0</v>
      </c>
      <c r="T23" s="120"/>
      <c r="U23" s="118">
        <f t="shared" si="20"/>
        <v>0</v>
      </c>
      <c r="W23" s="117"/>
      <c r="X23" s="118">
        <f t="shared" si="21"/>
        <v>0</v>
      </c>
      <c r="Z23" s="117"/>
      <c r="AA23" s="118">
        <f t="shared" si="22"/>
        <v>0</v>
      </c>
      <c r="AC23" s="117"/>
      <c r="AD23" s="118">
        <f t="shared" si="23"/>
        <v>0</v>
      </c>
      <c r="AF23" s="117"/>
      <c r="AG23" s="118">
        <f t="shared" si="24"/>
        <v>0</v>
      </c>
      <c r="AI23" s="117"/>
      <c r="AJ23" s="118">
        <f t="shared" si="25"/>
        <v>0</v>
      </c>
      <c r="AL23" s="117"/>
      <c r="AM23" s="118">
        <f t="shared" si="26"/>
        <v>0</v>
      </c>
      <c r="AO23" s="117"/>
      <c r="AP23" s="118">
        <f t="shared" si="27"/>
        <v>0</v>
      </c>
      <c r="AR23" s="117"/>
      <c r="AS23" s="118">
        <f t="shared" si="28"/>
        <v>0</v>
      </c>
      <c r="AU23" s="117"/>
      <c r="AV23" s="118">
        <f t="shared" si="29"/>
        <v>0</v>
      </c>
      <c r="AX23" s="117"/>
      <c r="AY23" s="118">
        <f t="shared" si="30"/>
        <v>0</v>
      </c>
      <c r="BA23" s="117"/>
      <c r="BB23" s="118">
        <f t="shared" si="31"/>
        <v>0</v>
      </c>
    </row>
    <row r="24" spans="1:54" s="119" customFormat="1" ht="16.5">
      <c r="A24" s="124"/>
      <c r="B24" s="124"/>
      <c r="C24" s="125" t="s">
        <v>44</v>
      </c>
      <c r="D24" s="126" t="s">
        <v>43</v>
      </c>
      <c r="E24" s="128" t="s">
        <v>49</v>
      </c>
      <c r="F24" s="115">
        <v>48070</v>
      </c>
      <c r="G24" s="116">
        <v>6087.7522882096009</v>
      </c>
      <c r="H24" s="120">
        <v>6</v>
      </c>
      <c r="I24" s="118">
        <f t="shared" si="16"/>
        <v>324946.51372925763</v>
      </c>
      <c r="K24" s="120">
        <v>18</v>
      </c>
      <c r="L24" s="118">
        <f t="shared" si="17"/>
        <v>974839.54118777288</v>
      </c>
      <c r="N24" s="120">
        <v>12</v>
      </c>
      <c r="O24" s="118">
        <f t="shared" si="18"/>
        <v>649893.02745851525</v>
      </c>
      <c r="Q24" s="163">
        <f>6*3</f>
        <v>18</v>
      </c>
      <c r="R24" s="118">
        <f t="shared" si="19"/>
        <v>974839.54118777288</v>
      </c>
      <c r="T24" s="120">
        <v>24</v>
      </c>
      <c r="U24" s="118">
        <f t="shared" si="20"/>
        <v>1299786.0549170305</v>
      </c>
      <c r="W24" s="120">
        <v>18</v>
      </c>
      <c r="X24" s="118">
        <f t="shared" si="21"/>
        <v>974839.54118777288</v>
      </c>
      <c r="Z24" s="163"/>
      <c r="AA24" s="118">
        <f t="shared" si="22"/>
        <v>0</v>
      </c>
      <c r="AC24" s="120"/>
      <c r="AD24" s="118">
        <f t="shared" si="23"/>
        <v>0</v>
      </c>
      <c r="AF24" s="120">
        <v>12</v>
      </c>
      <c r="AG24" s="118">
        <f t="shared" si="24"/>
        <v>649893.02745851525</v>
      </c>
      <c r="AI24" s="163">
        <v>12</v>
      </c>
      <c r="AJ24" s="118">
        <f t="shared" si="25"/>
        <v>649893.02745851525</v>
      </c>
      <c r="AL24" s="120"/>
      <c r="AM24" s="118">
        <f t="shared" si="26"/>
        <v>0</v>
      </c>
      <c r="AO24" s="120">
        <v>12</v>
      </c>
      <c r="AP24" s="118">
        <f t="shared" si="27"/>
        <v>649893.02745851525</v>
      </c>
      <c r="AR24" s="120">
        <v>12</v>
      </c>
      <c r="AS24" s="118">
        <f t="shared" si="28"/>
        <v>649893.02745851525</v>
      </c>
      <c r="AU24" s="120">
        <v>6</v>
      </c>
      <c r="AV24" s="118">
        <f t="shared" si="29"/>
        <v>324946.51372925763</v>
      </c>
      <c r="AX24" s="120"/>
      <c r="AY24" s="118">
        <f t="shared" si="30"/>
        <v>0</v>
      </c>
      <c r="BA24" s="120">
        <v>12</v>
      </c>
      <c r="BB24" s="118">
        <f t="shared" si="31"/>
        <v>649893.02745851525</v>
      </c>
    </row>
    <row r="25" spans="1:54" s="119" customFormat="1" ht="16.5">
      <c r="A25" s="124"/>
      <c r="B25" s="124"/>
      <c r="C25" s="125" t="s">
        <v>45</v>
      </c>
      <c r="D25" s="126" t="s">
        <v>61</v>
      </c>
      <c r="E25" s="114" t="s">
        <v>63</v>
      </c>
      <c r="F25" s="115">
        <v>530000</v>
      </c>
      <c r="G25" s="116">
        <v>150000</v>
      </c>
      <c r="H25" s="132"/>
      <c r="I25" s="118">
        <f t="shared" si="16"/>
        <v>0</v>
      </c>
      <c r="K25" s="132">
        <v>1</v>
      </c>
      <c r="L25" s="118">
        <f t="shared" si="17"/>
        <v>680000</v>
      </c>
      <c r="N25" s="132"/>
      <c r="O25" s="118">
        <f t="shared" si="18"/>
        <v>0</v>
      </c>
      <c r="Q25" s="132">
        <v>1</v>
      </c>
      <c r="R25" s="118">
        <f t="shared" si="19"/>
        <v>680000</v>
      </c>
      <c r="T25" s="132">
        <v>1</v>
      </c>
      <c r="U25" s="118">
        <f t="shared" si="20"/>
        <v>680000</v>
      </c>
      <c r="W25" s="132">
        <v>1</v>
      </c>
      <c r="X25" s="118">
        <f t="shared" si="21"/>
        <v>680000</v>
      </c>
      <c r="Z25" s="132">
        <v>1</v>
      </c>
      <c r="AA25" s="118">
        <f t="shared" si="22"/>
        <v>680000</v>
      </c>
      <c r="AC25" s="132"/>
      <c r="AD25" s="118">
        <f t="shared" si="23"/>
        <v>0</v>
      </c>
      <c r="AF25" s="132">
        <v>1</v>
      </c>
      <c r="AG25" s="118">
        <f>AF25*($F25+$G25)</f>
        <v>680000</v>
      </c>
      <c r="AI25" s="132">
        <v>0.5</v>
      </c>
      <c r="AJ25" s="118">
        <f>AI25*($F25+$G25)</f>
        <v>340000</v>
      </c>
      <c r="AL25" s="132"/>
      <c r="AM25" s="118">
        <f>AL25*($F25+$G25)</f>
        <v>0</v>
      </c>
      <c r="AO25" s="132">
        <v>0.5</v>
      </c>
      <c r="AP25" s="118">
        <f>AO25*($F25+$G25)</f>
        <v>340000</v>
      </c>
      <c r="AR25" s="132"/>
      <c r="AS25" s="118">
        <f>AR25*($F25+$G25)</f>
        <v>0</v>
      </c>
      <c r="AU25" s="132"/>
      <c r="AV25" s="118">
        <f>AU25*($F25+$G25)</f>
        <v>0</v>
      </c>
      <c r="AX25" s="132"/>
      <c r="AY25" s="118">
        <f>AX25*($F25+$G25)</f>
        <v>0</v>
      </c>
      <c r="BA25" s="132"/>
      <c r="BB25" s="118">
        <f>BA25*($F25+$G25)</f>
        <v>0</v>
      </c>
    </row>
    <row r="26" spans="1:54" s="119" customFormat="1" ht="16.5">
      <c r="A26" s="124"/>
      <c r="B26" s="124"/>
      <c r="C26" s="125" t="s">
        <v>46</v>
      </c>
      <c r="D26" s="126" t="s">
        <v>62</v>
      </c>
      <c r="E26" s="128" t="s">
        <v>64</v>
      </c>
      <c r="F26" s="129">
        <v>115717.5</v>
      </c>
      <c r="G26" s="116">
        <v>0</v>
      </c>
      <c r="H26" s="132"/>
      <c r="I26" s="118">
        <f t="shared" si="16"/>
        <v>0</v>
      </c>
      <c r="K26" s="132"/>
      <c r="L26" s="118">
        <f t="shared" si="17"/>
        <v>0</v>
      </c>
      <c r="N26" s="120"/>
      <c r="O26" s="118">
        <f t="shared" si="18"/>
        <v>0</v>
      </c>
      <c r="Q26" s="132"/>
      <c r="R26" s="118">
        <f t="shared" si="19"/>
        <v>0</v>
      </c>
      <c r="T26" s="132">
        <v>1</v>
      </c>
      <c r="U26" s="118">
        <f t="shared" si="20"/>
        <v>115717.5</v>
      </c>
      <c r="W26" s="120"/>
      <c r="X26" s="118">
        <f t="shared" si="21"/>
        <v>0</v>
      </c>
      <c r="Z26" s="120"/>
      <c r="AA26" s="118">
        <f t="shared" si="22"/>
        <v>0</v>
      </c>
      <c r="AC26" s="120"/>
      <c r="AD26" s="118">
        <f t="shared" si="23"/>
        <v>0</v>
      </c>
      <c r="AF26" s="120"/>
      <c r="AG26" s="118">
        <f t="shared" si="24"/>
        <v>0</v>
      </c>
      <c r="AI26" s="120"/>
      <c r="AJ26" s="118">
        <f t="shared" si="25"/>
        <v>0</v>
      </c>
      <c r="AL26" s="120"/>
      <c r="AM26" s="118">
        <f t="shared" si="26"/>
        <v>0</v>
      </c>
      <c r="AO26" s="120"/>
      <c r="AP26" s="118">
        <f t="shared" si="27"/>
        <v>0</v>
      </c>
      <c r="AR26" s="120"/>
      <c r="AS26" s="118">
        <f t="shared" si="28"/>
        <v>0</v>
      </c>
      <c r="AU26" s="120"/>
      <c r="AV26" s="118">
        <f t="shared" si="29"/>
        <v>0</v>
      </c>
      <c r="AX26" s="120"/>
      <c r="AY26" s="118">
        <f t="shared" si="30"/>
        <v>0</v>
      </c>
      <c r="BA26" s="120"/>
      <c r="BB26" s="118">
        <f t="shared" si="31"/>
        <v>0</v>
      </c>
    </row>
    <row r="27" spans="1:54" ht="14.25" customHeight="1">
      <c r="C27" s="20">
        <v>3</v>
      </c>
      <c r="D27" s="21" t="s">
        <v>47</v>
      </c>
      <c r="E27" s="89"/>
      <c r="F27" s="83"/>
      <c r="G27" s="83"/>
      <c r="H27" s="83"/>
      <c r="I27" s="81">
        <f>I28</f>
        <v>779902.80201342294</v>
      </c>
      <c r="K27" s="83"/>
      <c r="L27" s="81">
        <f>L28</f>
        <v>779902.80201342294</v>
      </c>
      <c r="N27" s="83"/>
      <c r="O27" s="81">
        <f>O28</f>
        <v>779902.80201342294</v>
      </c>
      <c r="Q27" s="83"/>
      <c r="R27" s="81">
        <f>R28</f>
        <v>779902.80201342294</v>
      </c>
      <c r="T27" s="83"/>
      <c r="U27" s="81">
        <f>U28</f>
        <v>779902.80201342294</v>
      </c>
      <c r="W27" s="83"/>
      <c r="X27" s="81">
        <f>X28</f>
        <v>779902.80201342294</v>
      </c>
      <c r="Z27" s="83"/>
      <c r="AA27" s="81">
        <f>AA28</f>
        <v>779902.80201342294</v>
      </c>
      <c r="AC27" s="83"/>
      <c r="AD27" s="81">
        <f>AD28</f>
        <v>779902.80201342294</v>
      </c>
      <c r="AF27" s="83"/>
      <c r="AG27" s="81">
        <f>AG28</f>
        <v>779902.80201342294</v>
      </c>
      <c r="AI27" s="155"/>
      <c r="AJ27" s="81">
        <f>AJ28</f>
        <v>779902.80201342294</v>
      </c>
      <c r="AL27" s="83"/>
      <c r="AM27" s="81">
        <f>AM28</f>
        <v>779902.80201342294</v>
      </c>
      <c r="AO27" s="83"/>
      <c r="AP27" s="81">
        <f>AP28</f>
        <v>779902.80201342294</v>
      </c>
      <c r="AR27" s="83"/>
      <c r="AS27" s="81">
        <f>AS28</f>
        <v>779902.80201342294</v>
      </c>
      <c r="AU27" s="83"/>
      <c r="AV27" s="81">
        <f>AV28</f>
        <v>779902.80201342294</v>
      </c>
      <c r="AX27" s="83"/>
      <c r="AY27" s="81">
        <f>AY28</f>
        <v>779902.80201342294</v>
      </c>
      <c r="BA27" s="83"/>
      <c r="BB27" s="81">
        <f>BB28</f>
        <v>779902.80201342294</v>
      </c>
    </row>
    <row r="28" spans="1:54" s="119" customFormat="1" ht="27">
      <c r="A28" s="124"/>
      <c r="B28" s="124"/>
      <c r="C28" s="125" t="s">
        <v>48</v>
      </c>
      <c r="D28" s="130" t="s">
        <v>54</v>
      </c>
      <c r="E28" s="127" t="s">
        <v>42</v>
      </c>
      <c r="F28" s="129"/>
      <c r="G28" s="116">
        <v>779902.80201342294</v>
      </c>
      <c r="H28" s="120">
        <v>1</v>
      </c>
      <c r="I28" s="118">
        <f>H28*($F28+$G28)</f>
        <v>779902.80201342294</v>
      </c>
      <c r="K28" s="120">
        <v>1</v>
      </c>
      <c r="L28" s="118">
        <f>K28*($F28+$G28)</f>
        <v>779902.80201342294</v>
      </c>
      <c r="N28" s="120">
        <v>1</v>
      </c>
      <c r="O28" s="118">
        <f>N28*($F28+$G28)</f>
        <v>779902.80201342294</v>
      </c>
      <c r="Q28" s="120">
        <v>1</v>
      </c>
      <c r="R28" s="118">
        <f>Q28*($F28+$G28)</f>
        <v>779902.80201342294</v>
      </c>
      <c r="T28" s="120">
        <v>1</v>
      </c>
      <c r="U28" s="118">
        <f>T28*($F28+$G28)</f>
        <v>779902.80201342294</v>
      </c>
      <c r="W28" s="120">
        <v>1</v>
      </c>
      <c r="X28" s="118">
        <f>W28*($F28+$G28)</f>
        <v>779902.80201342294</v>
      </c>
      <c r="Z28" s="120">
        <v>1</v>
      </c>
      <c r="AA28" s="118">
        <f>Z28*($F28+$G28)</f>
        <v>779902.80201342294</v>
      </c>
      <c r="AC28" s="120">
        <v>1</v>
      </c>
      <c r="AD28" s="118">
        <f>AC28*($F28+$G28)</f>
        <v>779902.80201342294</v>
      </c>
      <c r="AF28" s="120">
        <v>1</v>
      </c>
      <c r="AG28" s="118">
        <f>AF28*($F28+$G28)</f>
        <v>779902.80201342294</v>
      </c>
      <c r="AI28" s="156">
        <v>1</v>
      </c>
      <c r="AJ28" s="118">
        <f>AI28*($F28+$G28)</f>
        <v>779902.80201342294</v>
      </c>
      <c r="AL28" s="120">
        <v>1</v>
      </c>
      <c r="AM28" s="118">
        <f>AL28*($F28+$G28)</f>
        <v>779902.80201342294</v>
      </c>
      <c r="AO28" s="120">
        <v>1</v>
      </c>
      <c r="AP28" s="118">
        <f>AO28*($F28+$G28)</f>
        <v>779902.80201342294</v>
      </c>
      <c r="AR28" s="120">
        <v>1</v>
      </c>
      <c r="AS28" s="118">
        <f>AR28*($F28+$G28)</f>
        <v>779902.80201342294</v>
      </c>
      <c r="AU28" s="120">
        <v>1</v>
      </c>
      <c r="AV28" s="118">
        <f>AU28*($F28+$G28)</f>
        <v>779902.80201342294</v>
      </c>
      <c r="AX28" s="120">
        <v>1</v>
      </c>
      <c r="AY28" s="118">
        <f>AX28*($F28+$G28)</f>
        <v>779902.80201342294</v>
      </c>
      <c r="BA28" s="120">
        <v>1</v>
      </c>
      <c r="BB28" s="118">
        <f>BA28*($F28+$G28)</f>
        <v>779902.80201342294</v>
      </c>
    </row>
    <row r="29" spans="1:54" ht="22.15" customHeight="1">
      <c r="C29" s="23"/>
      <c r="D29" s="55" t="s">
        <v>13</v>
      </c>
      <c r="E29" s="90"/>
      <c r="F29" s="52"/>
      <c r="G29" s="53"/>
      <c r="H29" s="54"/>
      <c r="I29" s="81">
        <f>I21+I11+I27</f>
        <v>5876755.7207158254</v>
      </c>
      <c r="K29" s="23"/>
      <c r="L29" s="81">
        <f>L21+L11+L27</f>
        <v>6215729.7682145517</v>
      </c>
      <c r="N29" s="54"/>
      <c r="O29" s="81">
        <f>O21+O11+O27</f>
        <v>6521301.8907932919</v>
      </c>
      <c r="Q29" s="54"/>
      <c r="R29" s="81">
        <f>R21+R11+R27</f>
        <v>9000302.0464657564</v>
      </c>
      <c r="T29" s="54"/>
      <c r="U29" s="81">
        <f>U21+U11+U27</f>
        <v>8889820.9040118381</v>
      </c>
      <c r="W29" s="54"/>
      <c r="X29" s="81">
        <f>X21+X11+X27</f>
        <v>10698362.201669391</v>
      </c>
      <c r="Z29" s="54"/>
      <c r="AA29" s="81">
        <f>AA21+AA11+AA27</f>
        <v>3892486.4081275682</v>
      </c>
      <c r="AC29" s="54"/>
      <c r="AD29" s="81">
        <f>AD21+AD11+AD27</f>
        <v>3021953.3605716019</v>
      </c>
      <c r="AF29" s="54"/>
      <c r="AG29" s="81">
        <f>AG21+AG11+AG27</f>
        <v>6914316.0006921869</v>
      </c>
      <c r="AI29" s="23"/>
      <c r="AJ29" s="81">
        <f>AJ21+AJ11+AJ27</f>
        <v>2896779.8511352022</v>
      </c>
      <c r="AL29" s="54"/>
      <c r="AM29" s="81">
        <f>AM21+AM11+AM27</f>
        <v>5143567.4318015883</v>
      </c>
      <c r="AO29" s="54"/>
      <c r="AP29" s="81">
        <f>AP21+AP11+AP27</f>
        <v>10882796.506360883</v>
      </c>
      <c r="AR29" s="54"/>
      <c r="AS29" s="81">
        <f>AS21+AS11+AS27</f>
        <v>5421931.6858665254</v>
      </c>
      <c r="AU29" s="54"/>
      <c r="AV29" s="81">
        <f>AV21+AV11+AV27</f>
        <v>7465440.1580457715</v>
      </c>
      <c r="AX29" s="54"/>
      <c r="AY29" s="81">
        <f>AY21+AY11+AY27</f>
        <v>5524350.4983003866</v>
      </c>
      <c r="BA29" s="54"/>
      <c r="BB29" s="81">
        <f>BB21+BB11+BB27</f>
        <v>11841915.500598473</v>
      </c>
    </row>
    <row r="30" spans="1:54">
      <c r="C30" s="56"/>
      <c r="D30" s="59"/>
      <c r="E30" s="91"/>
      <c r="F30" s="61"/>
      <c r="G30" s="61"/>
      <c r="H30" s="61"/>
      <c r="I30" s="70"/>
      <c r="K30" s="61"/>
      <c r="L30" s="70"/>
      <c r="N30" s="61"/>
      <c r="O30" s="70"/>
      <c r="Q30" s="61"/>
      <c r="R30" s="70"/>
      <c r="T30" s="61"/>
      <c r="U30" s="70"/>
      <c r="W30" s="61"/>
      <c r="X30" s="70"/>
      <c r="Z30" s="61"/>
      <c r="AA30" s="70"/>
      <c r="AC30" s="61"/>
      <c r="AD30" s="70"/>
      <c r="AF30" s="61"/>
      <c r="AG30" s="70"/>
      <c r="AI30" s="70"/>
      <c r="AJ30" s="70"/>
      <c r="AL30" s="61"/>
      <c r="AM30" s="70"/>
      <c r="AO30" s="61"/>
      <c r="AP30" s="70"/>
      <c r="AR30" s="61"/>
      <c r="AS30" s="70"/>
      <c r="AU30" s="61"/>
      <c r="AV30" s="70"/>
      <c r="AX30" s="61"/>
      <c r="AY30" s="70"/>
      <c r="BA30" s="61"/>
      <c r="BB30" s="70"/>
    </row>
    <row r="31" spans="1:54">
      <c r="C31" s="23"/>
      <c r="D31" s="50"/>
      <c r="E31" s="48"/>
      <c r="F31" s="51"/>
      <c r="G31" s="29"/>
      <c r="H31" s="66"/>
      <c r="I31" s="46"/>
      <c r="K31" s="66"/>
      <c r="L31" s="46"/>
      <c r="N31" s="66"/>
      <c r="O31" s="46"/>
      <c r="Q31" s="66"/>
      <c r="R31" s="46"/>
      <c r="T31" s="66"/>
      <c r="U31" s="46"/>
      <c r="W31" s="66"/>
      <c r="X31" s="46"/>
      <c r="Z31" s="66"/>
      <c r="AA31" s="46"/>
      <c r="AC31" s="66"/>
      <c r="AD31" s="46"/>
      <c r="AF31" s="66"/>
      <c r="AG31" s="46"/>
      <c r="AI31" s="23"/>
      <c r="AJ31" s="46"/>
      <c r="AL31" s="66"/>
      <c r="AM31" s="46"/>
      <c r="AO31" s="66"/>
      <c r="AP31" s="46"/>
      <c r="AR31" s="66"/>
      <c r="AS31" s="46"/>
      <c r="AU31" s="66"/>
      <c r="AV31" s="46"/>
      <c r="AX31" s="66"/>
      <c r="AY31" s="46"/>
      <c r="BA31" s="66"/>
      <c r="BB31" s="46"/>
    </row>
    <row r="32" spans="1:54">
      <c r="C32" s="23"/>
      <c r="D32" s="55" t="s">
        <v>13</v>
      </c>
      <c r="E32" s="90"/>
      <c r="F32" s="58"/>
      <c r="G32" s="53"/>
      <c r="H32" s="54"/>
      <c r="I32" s="57">
        <f>I31</f>
        <v>0</v>
      </c>
      <c r="K32" s="54"/>
      <c r="L32" s="57">
        <f>L31</f>
        <v>0</v>
      </c>
      <c r="N32" s="54"/>
      <c r="O32" s="57">
        <f>O31</f>
        <v>0</v>
      </c>
      <c r="Q32" s="54"/>
      <c r="R32" s="57">
        <f>R31</f>
        <v>0</v>
      </c>
      <c r="T32" s="54"/>
      <c r="U32" s="57">
        <f>U31</f>
        <v>0</v>
      </c>
      <c r="W32" s="54"/>
      <c r="X32" s="57">
        <f>X31</f>
        <v>0</v>
      </c>
      <c r="Z32" s="54"/>
      <c r="AA32" s="57">
        <f>AA31</f>
        <v>0</v>
      </c>
      <c r="AC32" s="54"/>
      <c r="AD32" s="57">
        <f>AD31</f>
        <v>0</v>
      </c>
      <c r="AF32" s="54"/>
      <c r="AG32" s="57">
        <f>AG31</f>
        <v>0</v>
      </c>
      <c r="AI32" s="23"/>
      <c r="AJ32" s="57">
        <f>AJ31</f>
        <v>0</v>
      </c>
      <c r="AL32" s="54"/>
      <c r="AM32" s="57">
        <f>AM31</f>
        <v>0</v>
      </c>
      <c r="AO32" s="54"/>
      <c r="AP32" s="57">
        <f>AP31</f>
        <v>0</v>
      </c>
      <c r="AR32" s="54"/>
      <c r="AS32" s="57">
        <f>AS31</f>
        <v>0</v>
      </c>
      <c r="AU32" s="54"/>
      <c r="AV32" s="57">
        <f>AV31</f>
        <v>0</v>
      </c>
      <c r="AX32" s="54"/>
      <c r="AY32" s="57">
        <f>AY31</f>
        <v>0</v>
      </c>
      <c r="BA32" s="54"/>
      <c r="BB32" s="57">
        <f>BB31</f>
        <v>0</v>
      </c>
    </row>
    <row r="33" spans="1:54" ht="19.149999999999999" customHeight="1">
      <c r="C33" s="56">
        <v>5</v>
      </c>
      <c r="D33" s="62" t="s">
        <v>25</v>
      </c>
      <c r="E33" s="92"/>
      <c r="F33" s="63"/>
      <c r="G33" s="63"/>
      <c r="H33" s="63"/>
      <c r="I33" s="71"/>
      <c r="K33" s="63"/>
      <c r="L33" s="71"/>
      <c r="N33" s="63"/>
      <c r="O33" s="71"/>
      <c r="Q33" s="63"/>
      <c r="R33" s="71"/>
      <c r="T33" s="63"/>
      <c r="U33" s="71"/>
      <c r="W33" s="63"/>
      <c r="X33" s="71"/>
      <c r="Z33" s="63"/>
      <c r="AA33" s="71"/>
      <c r="AC33" s="63"/>
      <c r="AD33" s="71"/>
      <c r="AF33" s="63"/>
      <c r="AG33" s="71"/>
      <c r="AI33" s="63"/>
      <c r="AJ33" s="71"/>
      <c r="AL33" s="63"/>
      <c r="AM33" s="71"/>
      <c r="AO33" s="63"/>
      <c r="AP33" s="71"/>
      <c r="AR33" s="63"/>
      <c r="AS33" s="71"/>
      <c r="AU33" s="63"/>
      <c r="AV33" s="71"/>
      <c r="AX33" s="63"/>
      <c r="AY33" s="71"/>
      <c r="BA33" s="63"/>
      <c r="BB33" s="71"/>
    </row>
    <row r="34" spans="1:54" s="119" customFormat="1" ht="16.5">
      <c r="A34" s="124"/>
      <c r="B34" s="124"/>
      <c r="C34" s="125" t="s">
        <v>50</v>
      </c>
      <c r="D34" s="131" t="s">
        <v>23</v>
      </c>
      <c r="E34" s="128" t="s">
        <v>3</v>
      </c>
      <c r="F34" s="129"/>
      <c r="G34" s="116">
        <v>3475</v>
      </c>
      <c r="H34" s="120"/>
      <c r="I34" s="118">
        <f>H34*($F34+$G34)</f>
        <v>0</v>
      </c>
      <c r="K34" s="120"/>
      <c r="L34" s="118">
        <f>K34*($F34+$G34)</f>
        <v>0</v>
      </c>
      <c r="N34" s="120"/>
      <c r="O34" s="118">
        <f>N34*($F34+$G34)</f>
        <v>0</v>
      </c>
      <c r="Q34" s="120"/>
      <c r="R34" s="118">
        <f>Q34*($F34+$G34)</f>
        <v>0</v>
      </c>
      <c r="T34" s="120"/>
      <c r="U34" s="118">
        <f t="shared" ref="U34:U35" si="32">T34*($F34+$G34)</f>
        <v>0</v>
      </c>
      <c r="W34" s="120"/>
      <c r="X34" s="118">
        <f t="shared" ref="X34" si="33">W34*($F34+$G34)</f>
        <v>0</v>
      </c>
      <c r="Z34" s="120"/>
      <c r="AA34" s="118">
        <f t="shared" ref="AA34" si="34">Z34*($F34+$G34)</f>
        <v>0</v>
      </c>
      <c r="AC34" s="120"/>
      <c r="AD34" s="118">
        <f t="shared" ref="AD34" si="35">AC34*($F34+$G34)</f>
        <v>0</v>
      </c>
      <c r="AF34" s="120"/>
      <c r="AG34" s="118">
        <f t="shared" ref="AG34" si="36">AF34*($F34+$G34)</f>
        <v>0</v>
      </c>
      <c r="AI34" s="120"/>
      <c r="AJ34" s="118">
        <f t="shared" ref="AJ34" si="37">AI34*($F34+$G34)</f>
        <v>0</v>
      </c>
      <c r="AL34" s="120"/>
      <c r="AM34" s="118">
        <f t="shared" ref="AM34" si="38">AL34*($F34+$G34)</f>
        <v>0</v>
      </c>
      <c r="AO34" s="120"/>
      <c r="AP34" s="118">
        <f t="shared" ref="AP34" si="39">AO34*($F34+$G34)</f>
        <v>0</v>
      </c>
      <c r="AR34" s="120">
        <v>100</v>
      </c>
      <c r="AS34" s="118">
        <f t="shared" ref="AS34" si="40">AR34*($F34+$G34)</f>
        <v>347500</v>
      </c>
      <c r="AU34" s="120">
        <v>100</v>
      </c>
      <c r="AV34" s="118">
        <f t="shared" ref="AV34" si="41">AU34*($F34+$G34)</f>
        <v>347500</v>
      </c>
      <c r="AX34" s="120">
        <v>100</v>
      </c>
      <c r="AY34" s="118">
        <f t="shared" ref="AY34" si="42">AX34*($F34+$G34)</f>
        <v>347500</v>
      </c>
      <c r="BA34" s="120">
        <v>100</v>
      </c>
      <c r="BB34" s="118">
        <f t="shared" ref="BB34" si="43">BA34*($F34+$G34)</f>
        <v>347500</v>
      </c>
    </row>
    <row r="35" spans="1:54" ht="16.5">
      <c r="C35" s="23" t="s">
        <v>51</v>
      </c>
      <c r="D35" s="49" t="s">
        <v>24</v>
      </c>
      <c r="E35" s="48" t="s">
        <v>3</v>
      </c>
      <c r="F35" s="28"/>
      <c r="G35" s="77">
        <v>4120</v>
      </c>
      <c r="H35" s="98">
        <v>150</v>
      </c>
      <c r="I35" s="46">
        <f t="shared" ref="I35" si="44">H35*($F35+$G35)</f>
        <v>618000</v>
      </c>
      <c r="K35" s="98">
        <v>120</v>
      </c>
      <c r="L35" s="46">
        <f t="shared" ref="L35" si="45">K35*($F35+$G35)</f>
        <v>494400</v>
      </c>
      <c r="N35" s="98">
        <v>100</v>
      </c>
      <c r="O35" s="46">
        <f t="shared" ref="O35" si="46">N35*($F35+$G35)</f>
        <v>412000</v>
      </c>
      <c r="Q35" s="165">
        <v>200</v>
      </c>
      <c r="R35" s="46">
        <f t="shared" ref="R35" si="47">Q35*($F35+$G35)</f>
        <v>824000</v>
      </c>
      <c r="T35" s="98">
        <v>100</v>
      </c>
      <c r="U35" s="46">
        <f t="shared" si="32"/>
        <v>412000</v>
      </c>
      <c r="W35" s="98">
        <v>900</v>
      </c>
      <c r="X35" s="46">
        <f>W35*($F35+$G35)</f>
        <v>3708000</v>
      </c>
      <c r="Z35" s="98">
        <v>822</v>
      </c>
      <c r="AA35" s="46">
        <f>Z35*($F35+$G35)</f>
        <v>3386640</v>
      </c>
      <c r="AC35" s="98">
        <v>100</v>
      </c>
      <c r="AD35" s="46">
        <f>AC35*($F35+$G35)</f>
        <v>412000</v>
      </c>
      <c r="AF35" s="98">
        <v>100</v>
      </c>
      <c r="AG35" s="46">
        <f>AF35*($F35+$G35)</f>
        <v>412000</v>
      </c>
      <c r="AI35" s="98">
        <v>100</v>
      </c>
      <c r="AJ35" s="46">
        <f>AI35*($F35+$G35)</f>
        <v>412000</v>
      </c>
      <c r="AL35" s="98">
        <v>100</v>
      </c>
      <c r="AM35" s="46">
        <f>AL35*($F35+$G35)</f>
        <v>412000</v>
      </c>
      <c r="AO35" s="98">
        <v>100</v>
      </c>
      <c r="AP35" s="46">
        <f>AO35*($F35+$G35)</f>
        <v>412000</v>
      </c>
      <c r="AR35" s="98"/>
      <c r="AS35" s="46">
        <f>AR35*($F35+$G35)</f>
        <v>0</v>
      </c>
      <c r="AU35" s="98"/>
      <c r="AV35" s="46">
        <f>AU35*($F35+$G35)</f>
        <v>0</v>
      </c>
      <c r="AX35" s="98"/>
      <c r="AY35" s="46">
        <f>AX35*($F35+$G35)</f>
        <v>0</v>
      </c>
      <c r="BA35" s="98"/>
      <c r="BB35" s="46">
        <f>BA35*($F35+$G35)</f>
        <v>0</v>
      </c>
    </row>
    <row r="36" spans="1:54" ht="19.149999999999999" customHeight="1">
      <c r="C36" s="23"/>
      <c r="D36" s="55" t="s">
        <v>13</v>
      </c>
      <c r="E36" s="90"/>
      <c r="F36" s="52"/>
      <c r="G36" s="53"/>
      <c r="H36" s="66"/>
      <c r="I36" s="81">
        <f>SUM(I34:I35)</f>
        <v>618000</v>
      </c>
      <c r="K36" s="66"/>
      <c r="L36" s="81">
        <f>SUM(L34:L35)</f>
        <v>494400</v>
      </c>
      <c r="N36" s="66"/>
      <c r="O36" s="81">
        <f>SUM(O34:O35)</f>
        <v>412000</v>
      </c>
      <c r="Q36" s="66"/>
      <c r="R36" s="81">
        <f>SUM(R34:R35)</f>
        <v>824000</v>
      </c>
      <c r="T36" s="66"/>
      <c r="U36" s="81">
        <f>SUM(U34:U35)</f>
        <v>412000</v>
      </c>
      <c r="W36" s="66"/>
      <c r="X36" s="81">
        <f>SUM(X34:X35)</f>
        <v>3708000</v>
      </c>
      <c r="Z36" s="66"/>
      <c r="AA36" s="81">
        <f>SUM(AA34:AA35)</f>
        <v>3386640</v>
      </c>
      <c r="AC36" s="66"/>
      <c r="AD36" s="81">
        <f>SUM(AD34:AD35)</f>
        <v>412000</v>
      </c>
      <c r="AF36" s="66"/>
      <c r="AG36" s="81">
        <f>SUM(AG34:AG35)</f>
        <v>412000</v>
      </c>
      <c r="AI36" s="66"/>
      <c r="AJ36" s="81">
        <f>SUM(AJ34:AJ35)</f>
        <v>412000</v>
      </c>
      <c r="AL36" s="66"/>
      <c r="AM36" s="81">
        <f>SUM(AM34:AM35)</f>
        <v>412000</v>
      </c>
      <c r="AO36" s="66"/>
      <c r="AP36" s="81">
        <f>SUM(AP34:AP35)</f>
        <v>412000</v>
      </c>
      <c r="AR36" s="66"/>
      <c r="AS36" s="81">
        <f>SUM(AS34:AS35)</f>
        <v>347500</v>
      </c>
      <c r="AU36" s="66"/>
      <c r="AV36" s="81">
        <f>SUM(AV34:AV35)</f>
        <v>347500</v>
      </c>
      <c r="AX36" s="66"/>
      <c r="AY36" s="81">
        <f>SUM(AY34:AY35)</f>
        <v>347500</v>
      </c>
      <c r="BA36" s="66"/>
      <c r="BB36" s="81">
        <f>SUM(BB34:BB35)</f>
        <v>347500</v>
      </c>
    </row>
    <row r="37" spans="1:54" ht="14.25" thickBot="1">
      <c r="C37" s="23"/>
      <c r="D37" s="27"/>
      <c r="E37" s="93"/>
      <c r="F37" s="26"/>
      <c r="G37" s="26"/>
      <c r="H37" s="60"/>
      <c r="I37" s="24"/>
      <c r="K37" s="60"/>
      <c r="L37" s="24"/>
      <c r="N37" s="60"/>
      <c r="O37" s="24"/>
      <c r="Q37" s="60"/>
      <c r="R37" s="24"/>
      <c r="T37" s="60"/>
      <c r="U37" s="24"/>
      <c r="W37" s="60"/>
      <c r="X37" s="24"/>
      <c r="Z37" s="60"/>
      <c r="AA37" s="24"/>
      <c r="AC37" s="60"/>
      <c r="AD37" s="24"/>
      <c r="AF37" s="60"/>
      <c r="AG37" s="24"/>
      <c r="AI37" s="60"/>
      <c r="AJ37" s="24"/>
      <c r="AL37" s="60"/>
      <c r="AM37" s="24"/>
      <c r="AO37" s="60"/>
      <c r="AP37" s="24"/>
      <c r="AR37" s="60"/>
      <c r="AS37" s="24"/>
      <c r="AU37" s="60"/>
      <c r="AV37" s="24"/>
      <c r="AX37" s="60"/>
      <c r="AY37" s="24"/>
      <c r="BA37" s="60"/>
      <c r="BB37" s="24"/>
    </row>
    <row r="38" spans="1:54" ht="25.5">
      <c r="H38" s="67" t="s">
        <v>14</v>
      </c>
      <c r="I38" s="3">
        <f>I29+I36</f>
        <v>6494755.7207158254</v>
      </c>
      <c r="K38" s="67" t="s">
        <v>14</v>
      </c>
      <c r="L38" s="3">
        <f>L29+L36</f>
        <v>6710129.7682145517</v>
      </c>
      <c r="N38" s="67" t="s">
        <v>14</v>
      </c>
      <c r="O38" s="3">
        <f>O29+O36</f>
        <v>6933301.8907932919</v>
      </c>
      <c r="Q38" s="67" t="s">
        <v>14</v>
      </c>
      <c r="R38" s="3">
        <f>R29+R36</f>
        <v>9824302.0464657564</v>
      </c>
      <c r="T38" s="67" t="s">
        <v>14</v>
      </c>
      <c r="U38" s="3">
        <f>U29+U36</f>
        <v>9301820.9040118381</v>
      </c>
      <c r="W38" s="67" t="s">
        <v>14</v>
      </c>
      <c r="X38" s="3">
        <f>X29+X36</f>
        <v>14406362.201669391</v>
      </c>
      <c r="Z38" s="67" t="s">
        <v>14</v>
      </c>
      <c r="AA38" s="3">
        <f>AA29+AA36</f>
        <v>7279126.4081275687</v>
      </c>
      <c r="AC38" s="67" t="s">
        <v>14</v>
      </c>
      <c r="AD38" s="3">
        <f>AD29+AD36</f>
        <v>3433953.3605716019</v>
      </c>
      <c r="AF38" s="67" t="s">
        <v>14</v>
      </c>
      <c r="AG38" s="3">
        <f>AG29+AG36</f>
        <v>7326316.0006921869</v>
      </c>
      <c r="AI38" s="67" t="s">
        <v>14</v>
      </c>
      <c r="AJ38" s="3">
        <f>AJ29+AJ36</f>
        <v>3308779.8511352022</v>
      </c>
      <c r="AL38" s="67" t="s">
        <v>14</v>
      </c>
      <c r="AM38" s="3">
        <f>AM29+AM36</f>
        <v>5555567.4318015883</v>
      </c>
      <c r="AO38" s="67" t="s">
        <v>14</v>
      </c>
      <c r="AP38" s="3">
        <f>AP29+AP36</f>
        <v>11294796.506360883</v>
      </c>
      <c r="AR38" s="67" t="s">
        <v>14</v>
      </c>
      <c r="AS38" s="3">
        <f>AS29+AS36</f>
        <v>5769431.6858665254</v>
      </c>
      <c r="AU38" s="67" t="s">
        <v>14</v>
      </c>
      <c r="AV38" s="3">
        <f>AV29+AV36</f>
        <v>7812940.1580457715</v>
      </c>
      <c r="AX38" s="67" t="s">
        <v>14</v>
      </c>
      <c r="AY38" s="3">
        <f>AY29+AY36</f>
        <v>5871850.4983003866</v>
      </c>
      <c r="BA38" s="67" t="s">
        <v>14</v>
      </c>
      <c r="BB38" s="3">
        <f>BB29+BB36</f>
        <v>12189415.500598473</v>
      </c>
    </row>
    <row r="39" spans="1:54">
      <c r="H39" s="68" t="s">
        <v>15</v>
      </c>
      <c r="I39" s="4">
        <f>I38*18%</f>
        <v>1169056.0297288485</v>
      </c>
      <c r="K39" s="68" t="s">
        <v>15</v>
      </c>
      <c r="L39" s="4">
        <f>L38*18%</f>
        <v>1207823.3582786194</v>
      </c>
      <c r="N39" s="68" t="s">
        <v>15</v>
      </c>
      <c r="O39" s="4">
        <f>O38*18%</f>
        <v>1247994.3403427924</v>
      </c>
      <c r="Q39" s="68" t="s">
        <v>15</v>
      </c>
      <c r="R39" s="4">
        <f>R38*18%</f>
        <v>1768374.3683638361</v>
      </c>
      <c r="T39" s="68" t="s">
        <v>15</v>
      </c>
      <c r="U39" s="4">
        <f>U38*18%</f>
        <v>1674327.7627221309</v>
      </c>
      <c r="W39" s="68" t="s">
        <v>15</v>
      </c>
      <c r="X39" s="4">
        <f>X38*18%</f>
        <v>2593145.1963004903</v>
      </c>
      <c r="Z39" s="68" t="s">
        <v>15</v>
      </c>
      <c r="AA39" s="4">
        <f>AA38*18%</f>
        <v>1310242.7534629623</v>
      </c>
      <c r="AC39" s="68" t="s">
        <v>15</v>
      </c>
      <c r="AD39" s="4">
        <f>AD38*18%</f>
        <v>618111.6049028883</v>
      </c>
      <c r="AF39" s="68" t="s">
        <v>15</v>
      </c>
      <c r="AG39" s="4">
        <f>AG38*18%</f>
        <v>1318736.8801245936</v>
      </c>
      <c r="AI39" s="68" t="s">
        <v>15</v>
      </c>
      <c r="AJ39" s="4">
        <f>AJ38*18%</f>
        <v>595580.37320433639</v>
      </c>
      <c r="AL39" s="68" t="s">
        <v>15</v>
      </c>
      <c r="AM39" s="4">
        <f>AM38*18%</f>
        <v>1000002.1377242858</v>
      </c>
      <c r="AO39" s="68" t="s">
        <v>15</v>
      </c>
      <c r="AP39" s="4">
        <f>AP38*18%</f>
        <v>2033063.3711449588</v>
      </c>
      <c r="AR39" s="68" t="s">
        <v>15</v>
      </c>
      <c r="AS39" s="4">
        <f>AS38*18%</f>
        <v>1038497.7034559746</v>
      </c>
      <c r="AU39" s="68" t="s">
        <v>15</v>
      </c>
      <c r="AV39" s="4">
        <f>AV38*18%</f>
        <v>1406329.2284482389</v>
      </c>
      <c r="AX39" s="68" t="s">
        <v>15</v>
      </c>
      <c r="AY39" s="4">
        <f>AY38*18%</f>
        <v>1056933.0896940695</v>
      </c>
      <c r="BA39" s="68" t="s">
        <v>15</v>
      </c>
      <c r="BB39" s="4">
        <f>BB38*18%</f>
        <v>2194094.7901077252</v>
      </c>
    </row>
    <row r="40" spans="1:54" ht="14.25" thickBot="1">
      <c r="H40" s="69" t="s">
        <v>16</v>
      </c>
      <c r="I40" s="5">
        <f>SUM(I38:I39)</f>
        <v>7663811.7504446739</v>
      </c>
      <c r="K40" s="69" t="s">
        <v>16</v>
      </c>
      <c r="L40" s="5">
        <f>SUM(L38:L39)</f>
        <v>7917953.1264931709</v>
      </c>
      <c r="N40" s="69" t="s">
        <v>16</v>
      </c>
      <c r="O40" s="5">
        <f>SUM(O38:O39)</f>
        <v>8181296.2311360845</v>
      </c>
      <c r="Q40" s="69" t="s">
        <v>16</v>
      </c>
      <c r="R40" s="5">
        <f>SUM(R38:R39)</f>
        <v>11592676.414829593</v>
      </c>
      <c r="T40" s="69" t="s">
        <v>16</v>
      </c>
      <c r="U40" s="5">
        <f>SUM(U38:U39)</f>
        <v>10976148.666733969</v>
      </c>
      <c r="W40" s="69" t="s">
        <v>16</v>
      </c>
      <c r="X40" s="5">
        <f>SUM(X38:X39)</f>
        <v>16999507.397969883</v>
      </c>
      <c r="Z40" s="69" t="s">
        <v>16</v>
      </c>
      <c r="AA40" s="5">
        <f>SUM(AA38:AA39)</f>
        <v>8589369.1615905315</v>
      </c>
      <c r="AC40" s="69" t="s">
        <v>16</v>
      </c>
      <c r="AD40" s="5">
        <f>SUM(AD38:AD39)</f>
        <v>4052064.9654744901</v>
      </c>
      <c r="AF40" s="69" t="s">
        <v>16</v>
      </c>
      <c r="AG40" s="5">
        <f>SUM(AG38:AG39)</f>
        <v>8645052.88081678</v>
      </c>
      <c r="AI40" s="69" t="s">
        <v>16</v>
      </c>
      <c r="AJ40" s="5">
        <f>SUM(AJ38:AJ39)</f>
        <v>3904360.2243395387</v>
      </c>
      <c r="AL40" s="69" t="s">
        <v>16</v>
      </c>
      <c r="AM40" s="5">
        <f>SUM(AM38:AM39)</f>
        <v>6555569.5695258742</v>
      </c>
      <c r="AO40" s="69" t="s">
        <v>16</v>
      </c>
      <c r="AP40" s="5">
        <f>SUM(AP38:AP39)</f>
        <v>13327859.877505843</v>
      </c>
      <c r="AR40" s="69" t="s">
        <v>16</v>
      </c>
      <c r="AS40" s="5">
        <f>SUM(AS38:AS39)</f>
        <v>6807929.3893224997</v>
      </c>
      <c r="AU40" s="69" t="s">
        <v>16</v>
      </c>
      <c r="AV40" s="5">
        <f>SUM(AV38:AV39)</f>
        <v>9219269.3864940107</v>
      </c>
      <c r="AX40" s="69" t="s">
        <v>16</v>
      </c>
      <c r="AY40" s="5">
        <f>SUM(AY38:AY39)</f>
        <v>6928783.5879944563</v>
      </c>
      <c r="BA40" s="69" t="s">
        <v>16</v>
      </c>
      <c r="BB40" s="5">
        <f>SUM(BB38:BB39)</f>
        <v>14383510.290706199</v>
      </c>
    </row>
    <row r="41" spans="1:54">
      <c r="H41" s="6"/>
      <c r="I41" s="72"/>
      <c r="K41" s="6"/>
      <c r="L41" s="72"/>
      <c r="N41" s="6"/>
      <c r="O41" s="72"/>
      <c r="Q41" s="6"/>
      <c r="R41" s="72"/>
      <c r="T41" s="6"/>
      <c r="U41" s="72"/>
      <c r="W41" s="6"/>
      <c r="X41" s="72"/>
      <c r="Z41" s="6"/>
      <c r="AA41" s="72"/>
      <c r="AC41" s="6"/>
      <c r="AD41" s="72"/>
      <c r="AF41" s="6"/>
      <c r="AG41" s="72"/>
      <c r="AI41" s="157"/>
      <c r="AJ41" s="72"/>
      <c r="AL41" s="6"/>
      <c r="AM41" s="72"/>
      <c r="AO41" s="6"/>
      <c r="AP41" s="72"/>
      <c r="AR41" s="6"/>
      <c r="AS41" s="72"/>
      <c r="AU41" s="6"/>
      <c r="AV41" s="72"/>
      <c r="AX41" s="6"/>
      <c r="AY41" s="72"/>
      <c r="BA41" s="6"/>
      <c r="BB41" s="72"/>
    </row>
    <row r="42" spans="1:54">
      <c r="H42" s="95" t="s">
        <v>12</v>
      </c>
      <c r="I42" s="96">
        <f>I11+I21+I27</f>
        <v>5876755.7207158254</v>
      </c>
      <c r="K42" s="95" t="s">
        <v>12</v>
      </c>
      <c r="L42" s="96">
        <f>L11+L21+L27</f>
        <v>6215729.7682145517</v>
      </c>
      <c r="N42" s="95" t="s">
        <v>12</v>
      </c>
      <c r="O42" s="96">
        <f>O11+O21+O27</f>
        <v>6521301.8907932919</v>
      </c>
      <c r="Q42" s="95" t="s">
        <v>12</v>
      </c>
      <c r="R42" s="96">
        <f>R11+R21+R27</f>
        <v>9000302.0464657564</v>
      </c>
      <c r="T42" s="95" t="s">
        <v>12</v>
      </c>
      <c r="U42" s="96">
        <f>U11+U21+U27</f>
        <v>8889820.9040118381</v>
      </c>
      <c r="W42" s="95" t="s">
        <v>12</v>
      </c>
      <c r="X42" s="96">
        <f>X11+X21+X27</f>
        <v>10698362.201669391</v>
      </c>
      <c r="Z42" s="95" t="s">
        <v>12</v>
      </c>
      <c r="AA42" s="96">
        <f>AA11+AA21+AA27</f>
        <v>3892486.4081275682</v>
      </c>
      <c r="AC42" s="95" t="s">
        <v>12</v>
      </c>
      <c r="AD42" s="96">
        <f>AD11+AD21+AD27</f>
        <v>3021953.3605716019</v>
      </c>
      <c r="AF42" s="95" t="s">
        <v>12</v>
      </c>
      <c r="AG42" s="96">
        <f>AG11+AG21+AG27</f>
        <v>6914316.0006921869</v>
      </c>
      <c r="AI42" s="95" t="s">
        <v>12</v>
      </c>
      <c r="AJ42" s="96">
        <f>AJ11+AJ21+AJ27</f>
        <v>2896779.8511352022</v>
      </c>
      <c r="AL42" s="95" t="s">
        <v>12</v>
      </c>
      <c r="AM42" s="96">
        <f>AM11+AM21+AM27</f>
        <v>5143567.4318015883</v>
      </c>
      <c r="AO42" s="95" t="s">
        <v>12</v>
      </c>
      <c r="AP42" s="96">
        <f>AP11+AP21+AP27</f>
        <v>10882796.506360883</v>
      </c>
      <c r="AR42" s="95" t="s">
        <v>12</v>
      </c>
      <c r="AS42" s="96">
        <f>AS11+AS21+AS27</f>
        <v>5421931.6858665254</v>
      </c>
      <c r="AU42" s="95" t="s">
        <v>12</v>
      </c>
      <c r="AV42" s="96">
        <f>AV11+AV21+AV27</f>
        <v>7465440.1580457715</v>
      </c>
      <c r="AX42" s="95" t="s">
        <v>12</v>
      </c>
      <c r="AY42" s="96">
        <f>AY11+AY21+AY27</f>
        <v>5524350.4983003866</v>
      </c>
      <c r="BA42" s="95" t="s">
        <v>12</v>
      </c>
      <c r="BB42" s="96">
        <f>BB11+BB21+BB27</f>
        <v>11841915.500598473</v>
      </c>
    </row>
    <row r="43" spans="1:54">
      <c r="H43" s="95" t="s">
        <v>2</v>
      </c>
      <c r="I43" s="73">
        <f>I36</f>
        <v>618000</v>
      </c>
      <c r="K43" s="95" t="s">
        <v>2</v>
      </c>
      <c r="L43" s="73">
        <f>L36</f>
        <v>494400</v>
      </c>
      <c r="N43" s="95" t="s">
        <v>2</v>
      </c>
      <c r="O43" s="73">
        <f>O36</f>
        <v>412000</v>
      </c>
      <c r="Q43" s="95" t="s">
        <v>2</v>
      </c>
      <c r="R43" s="73">
        <f>R36</f>
        <v>824000</v>
      </c>
      <c r="T43" s="95" t="s">
        <v>2</v>
      </c>
      <c r="U43" s="73">
        <f>U36</f>
        <v>412000</v>
      </c>
      <c r="W43" s="95" t="s">
        <v>2</v>
      </c>
      <c r="X43" s="73">
        <f>X36</f>
        <v>3708000</v>
      </c>
      <c r="Z43" s="95" t="s">
        <v>2</v>
      </c>
      <c r="AA43" s="73">
        <f>AA36</f>
        <v>3386640</v>
      </c>
      <c r="AC43" s="95" t="s">
        <v>2</v>
      </c>
      <c r="AD43" s="73">
        <f>AD36</f>
        <v>412000</v>
      </c>
      <c r="AF43" s="95" t="s">
        <v>2</v>
      </c>
      <c r="AG43" s="73">
        <f>AG36</f>
        <v>412000</v>
      </c>
      <c r="AI43" s="95" t="s">
        <v>2</v>
      </c>
      <c r="AJ43" s="73">
        <f>AJ36</f>
        <v>412000</v>
      </c>
      <c r="AL43" s="95" t="s">
        <v>2</v>
      </c>
      <c r="AM43" s="73">
        <f>AM36</f>
        <v>412000</v>
      </c>
      <c r="AO43" s="95" t="s">
        <v>2</v>
      </c>
      <c r="AP43" s="73">
        <f>AP36</f>
        <v>412000</v>
      </c>
      <c r="AR43" s="95" t="s">
        <v>2</v>
      </c>
      <c r="AS43" s="73">
        <f>AS36</f>
        <v>347500</v>
      </c>
      <c r="AU43" s="95" t="s">
        <v>2</v>
      </c>
      <c r="AV43" s="73">
        <f>AV36</f>
        <v>347500</v>
      </c>
      <c r="AX43" s="95" t="s">
        <v>2</v>
      </c>
      <c r="AY43" s="73">
        <f>AY36</f>
        <v>347500</v>
      </c>
      <c r="BA43" s="95" t="s">
        <v>2</v>
      </c>
      <c r="BB43" s="73">
        <f>BB36</f>
        <v>347500</v>
      </c>
    </row>
    <row r="45" spans="1:54">
      <c r="C45" s="153"/>
      <c r="AA45" s="158"/>
    </row>
    <row r="46" spans="1:54">
      <c r="C46" s="153"/>
    </row>
    <row r="47" spans="1:54">
      <c r="C47" s="153"/>
    </row>
    <row r="48" spans="1:54">
      <c r="C48" s="153"/>
    </row>
    <row r="49" spans="3:3">
      <c r="C49" s="153"/>
    </row>
    <row r="204" spans="4:4">
      <c r="D204" s="47" t="e">
        <f>BOQ!#REF!+#REF!</f>
        <v>#REF!</v>
      </c>
    </row>
  </sheetData>
  <mergeCells count="3">
    <mergeCell ref="C6:G6"/>
    <mergeCell ref="F3:G3"/>
    <mergeCell ref="E4:G4"/>
  </mergeCells>
  <phoneticPr fontId="15" type="noConversion"/>
  <conditionalFormatting sqref="A11:B37">
    <cfRule type="cellIs" dxfId="0" priority="1" operator="greaterThan">
      <formula>3</formula>
    </cfRule>
  </conditionalFormatting>
  <pageMargins left="0.25" right="0.25" top="0.75" bottom="0.75" header="0.3" footer="0.3"/>
  <pageSetup scale="45" orientation="portrait" r:id="rId1"/>
  <headerFooter>
    <oddHeader>&amp;C&amp;G</oddHeader>
    <oddFooter>&amp;C&amp;G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AE6C-2657-4F7E-85E4-E2B3EFF25A14}">
  <dimension ref="B2:L26"/>
  <sheetViews>
    <sheetView showGridLines="0" tabSelected="1" zoomScale="90" zoomScaleNormal="90" workbookViewId="0">
      <pane ySplit="4" topLeftCell="A5" activePane="bottomLeft" state="frozen"/>
      <selection pane="bottomLeft" activeCell="D23" sqref="D23"/>
    </sheetView>
  </sheetViews>
  <sheetFormatPr defaultColWidth="9" defaultRowHeight="13.5"/>
  <cols>
    <col min="1" max="1" width="9" style="103"/>
    <col min="2" max="2" width="5.42578125" style="103" customWidth="1"/>
    <col min="3" max="3" width="20.140625" style="103" customWidth="1"/>
    <col min="4" max="4" width="17.85546875" style="103" customWidth="1"/>
    <col min="5" max="5" width="15.85546875" style="103" customWidth="1"/>
    <col min="6" max="6" width="9.140625" style="103" bestFit="1" customWidth="1"/>
    <col min="7" max="7" width="15.28515625" style="103" customWidth="1"/>
    <col min="8" max="8" width="16.140625" style="103" bestFit="1" customWidth="1"/>
    <col min="9" max="9" width="18.28515625" style="103" bestFit="1" customWidth="1"/>
    <col min="10" max="10" width="6.42578125" style="140" customWidth="1"/>
    <col min="11" max="11" width="12" style="159" customWidth="1"/>
    <col min="12" max="12" width="11" style="103" bestFit="1" customWidth="1"/>
    <col min="13" max="16384" width="9" style="103"/>
  </cols>
  <sheetData>
    <row r="2" spans="2:11" ht="23.65" customHeight="1"/>
    <row r="3" spans="2:11" ht="13.15" customHeight="1"/>
    <row r="4" spans="2:11" ht="29.65" customHeight="1">
      <c r="B4" s="104" t="s">
        <v>17</v>
      </c>
      <c r="C4" s="105" t="s">
        <v>65</v>
      </c>
      <c r="D4" s="104" t="s">
        <v>11</v>
      </c>
      <c r="E4" s="104" t="s">
        <v>66</v>
      </c>
      <c r="F4" s="104" t="s">
        <v>10</v>
      </c>
      <c r="G4" s="106" t="s">
        <v>67</v>
      </c>
      <c r="H4" s="106" t="s">
        <v>68</v>
      </c>
      <c r="I4" s="107" t="s">
        <v>69</v>
      </c>
    </row>
    <row r="5" spans="2:11" s="138" customFormat="1" ht="13.15" customHeight="1">
      <c r="B5" s="134">
        <v>1</v>
      </c>
      <c r="C5" s="135" t="s">
        <v>70</v>
      </c>
      <c r="D5" s="134" t="str">
        <f>BOQ!I8</f>
        <v>Nyalaja</v>
      </c>
      <c r="E5" s="136" t="str">
        <f>BOQ!I7</f>
        <v>TZTB1217</v>
      </c>
      <c r="F5" s="108">
        <v>1</v>
      </c>
      <c r="G5" s="109">
        <f>BOQ!I42</f>
        <v>5876755.7207158254</v>
      </c>
      <c r="H5" s="137">
        <f>BOQ!I43</f>
        <v>618000</v>
      </c>
      <c r="I5" s="110">
        <f>SUM(G5:H5)</f>
        <v>6494755.7207158254</v>
      </c>
      <c r="J5" s="141"/>
      <c r="K5" s="160"/>
    </row>
    <row r="6" spans="2:11" s="138" customFormat="1" ht="13.15" customHeight="1">
      <c r="B6" s="134">
        <v>2</v>
      </c>
      <c r="C6" s="135" t="s">
        <v>70</v>
      </c>
      <c r="D6" s="134" t="str">
        <f>BOQ!L8</f>
        <v>Mwashina</v>
      </c>
      <c r="E6" s="136" t="str">
        <f>BOQ!L7</f>
        <v>TZTB2341</v>
      </c>
      <c r="F6" s="108">
        <v>1</v>
      </c>
      <c r="G6" s="109">
        <f>BOQ!L42</f>
        <v>6215729.7682145517</v>
      </c>
      <c r="H6" s="137">
        <f>BOQ!L43</f>
        <v>494400</v>
      </c>
      <c r="I6" s="110">
        <f t="shared" ref="I6:I21" si="0">SUM(G6:H6)</f>
        <v>6710129.7682145517</v>
      </c>
      <c r="J6" s="141"/>
      <c r="K6" s="160"/>
    </row>
    <row r="7" spans="2:11" s="138" customFormat="1" ht="13.15" customHeight="1">
      <c r="B7" s="134">
        <v>3</v>
      </c>
      <c r="C7" s="135" t="s">
        <v>70</v>
      </c>
      <c r="D7" s="134" t="str">
        <f>BOQ!O8</f>
        <v>Mabama</v>
      </c>
      <c r="E7" s="136" t="str">
        <f>BOQ!O7</f>
        <v>TZTB2346</v>
      </c>
      <c r="F7" s="108">
        <v>1</v>
      </c>
      <c r="G7" s="109">
        <f>BOQ!O42</f>
        <v>6521301.8907932919</v>
      </c>
      <c r="H7" s="137">
        <f>BOQ!O43</f>
        <v>412000</v>
      </c>
      <c r="I7" s="110">
        <f t="shared" si="0"/>
        <v>6933301.8907932919</v>
      </c>
      <c r="J7" s="141"/>
      <c r="K7" s="160"/>
    </row>
    <row r="8" spans="2:11" s="138" customFormat="1" ht="13.15" customHeight="1">
      <c r="B8" s="134">
        <v>4</v>
      </c>
      <c r="C8" s="135" t="s">
        <v>70</v>
      </c>
      <c r="D8" s="134" t="str">
        <f>BOQ!R8</f>
        <v>Milambo Itobo Ucsaf</v>
      </c>
      <c r="E8" s="136" t="str">
        <f>BOQ!R7</f>
        <v>TZTB6750</v>
      </c>
      <c r="F8" s="108">
        <v>1</v>
      </c>
      <c r="G8" s="109">
        <f>BOQ!R42</f>
        <v>9000302.0464657564</v>
      </c>
      <c r="H8" s="137">
        <f>BOQ!R43</f>
        <v>824000</v>
      </c>
      <c r="I8" s="110">
        <f t="shared" si="0"/>
        <v>9824302.0464657564</v>
      </c>
      <c r="J8" s="141"/>
      <c r="K8" s="160"/>
    </row>
    <row r="9" spans="2:11" s="138" customFormat="1" ht="13.15" customHeight="1">
      <c r="B9" s="134">
        <v>5</v>
      </c>
      <c r="C9" s="135" t="s">
        <v>70</v>
      </c>
      <c r="D9" s="134" t="str">
        <f>BOQ!U8</f>
        <v>Ndala</v>
      </c>
      <c r="E9" s="136" t="str">
        <f>BOQ!U7</f>
        <v>TZTB2353</v>
      </c>
      <c r="F9" s="108">
        <v>1</v>
      </c>
      <c r="G9" s="109">
        <f>BOQ!U42</f>
        <v>8889820.9040118381</v>
      </c>
      <c r="H9" s="137">
        <f>BOQ!U43</f>
        <v>412000</v>
      </c>
      <c r="I9" s="110">
        <f t="shared" si="0"/>
        <v>9301820.9040118381</v>
      </c>
      <c r="J9" s="141"/>
      <c r="K9" s="160"/>
    </row>
    <row r="10" spans="2:11" s="138" customFormat="1" ht="13.15" customHeight="1">
      <c r="B10" s="134">
        <v>6</v>
      </c>
      <c r="C10" s="135" t="s">
        <v>70</v>
      </c>
      <c r="D10" s="134" t="str">
        <f>BOQ!X8</f>
        <v>Tumbi</v>
      </c>
      <c r="E10" s="136" t="str">
        <f>BOQ!X7</f>
        <v>TZTB1568</v>
      </c>
      <c r="F10" s="108">
        <v>1</v>
      </c>
      <c r="G10" s="109">
        <f>BOQ!X42</f>
        <v>10698362.201669391</v>
      </c>
      <c r="H10" s="137">
        <f>BOQ!X43</f>
        <v>3708000</v>
      </c>
      <c r="I10" s="110">
        <f t="shared" si="0"/>
        <v>14406362.201669391</v>
      </c>
      <c r="J10" s="141"/>
      <c r="K10" s="160"/>
    </row>
    <row r="11" spans="2:11" s="138" customFormat="1" ht="13.15" customHeight="1">
      <c r="B11" s="134">
        <v>7</v>
      </c>
      <c r="C11" s="135" t="s">
        <v>70</v>
      </c>
      <c r="D11" s="134" t="str">
        <f>BOQ!AA8</f>
        <v>Igunga vtz</v>
      </c>
      <c r="E11" s="136" t="str">
        <f>BOQ!AA7</f>
        <v>TZTB5713</v>
      </c>
      <c r="F11" s="108">
        <v>1</v>
      </c>
      <c r="G11" s="109">
        <f>BOQ!AA42</f>
        <v>3892486.4081275682</v>
      </c>
      <c r="H11" s="137">
        <f>BOQ!AA43</f>
        <v>3386640</v>
      </c>
      <c r="I11" s="110">
        <f t="shared" si="0"/>
        <v>7279126.4081275687</v>
      </c>
      <c r="J11" s="141"/>
      <c r="K11" s="160"/>
    </row>
    <row r="12" spans="2:11" s="138" customFormat="1" ht="13.15" customHeight="1">
      <c r="B12" s="134">
        <v>8</v>
      </c>
      <c r="C12" s="135" t="s">
        <v>70</v>
      </c>
      <c r="D12" s="134" t="str">
        <f>BOQ!AD8</f>
        <v>Itunduru vtz</v>
      </c>
      <c r="E12" s="136" t="str">
        <f>BOQ!AD7</f>
        <v>TZTB7528</v>
      </c>
      <c r="F12" s="108">
        <v>1</v>
      </c>
      <c r="G12" s="109">
        <f>BOQ!AD42</f>
        <v>3021953.3605716019</v>
      </c>
      <c r="H12" s="137">
        <f>BOQ!AD43</f>
        <v>412000</v>
      </c>
      <c r="I12" s="110">
        <f t="shared" si="0"/>
        <v>3433953.3605716019</v>
      </c>
      <c r="J12" s="141"/>
      <c r="K12" s="160"/>
    </row>
    <row r="13" spans="2:11" s="138" customFormat="1" ht="13.15" customHeight="1">
      <c r="B13" s="134">
        <v>9</v>
      </c>
      <c r="C13" s="135" t="s">
        <v>70</v>
      </c>
      <c r="D13" s="134" t="str">
        <f>BOQ!AG8</f>
        <v>Mwabakima</v>
      </c>
      <c r="E13" s="136" t="str">
        <f>BOQ!AG7</f>
        <v>TZTB7797</v>
      </c>
      <c r="F13" s="108">
        <v>1</v>
      </c>
      <c r="G13" s="109">
        <f>BOQ!AG42</f>
        <v>6914316.0006921869</v>
      </c>
      <c r="H13" s="137">
        <f>BOQ!AG43</f>
        <v>412000</v>
      </c>
      <c r="I13" s="110">
        <f t="shared" si="0"/>
        <v>7326316.0006921869</v>
      </c>
      <c r="J13" s="141"/>
      <c r="K13" s="160"/>
    </row>
    <row r="14" spans="2:11" s="138" customFormat="1" ht="13.15" customHeight="1">
      <c r="B14" s="134">
        <v>10</v>
      </c>
      <c r="C14" s="135" t="s">
        <v>70</v>
      </c>
      <c r="D14" s="134" t="str">
        <f>BOQ!AJ8</f>
        <v>Ndembezi Igunga Vtz</v>
      </c>
      <c r="E14" s="136" t="str">
        <f>BOQ!AJ7</f>
        <v>TZTB7519</v>
      </c>
      <c r="F14" s="108">
        <v>1</v>
      </c>
      <c r="G14" s="109">
        <f>BOQ!AJ42</f>
        <v>2896779.8511352022</v>
      </c>
      <c r="H14" s="137">
        <f>BOQ!AJ43</f>
        <v>412000</v>
      </c>
      <c r="I14" s="110">
        <f t="shared" si="0"/>
        <v>3308779.8511352022</v>
      </c>
      <c r="J14" s="141"/>
      <c r="K14" s="160"/>
    </row>
    <row r="15" spans="2:11" s="138" customFormat="1" ht="13.15" customHeight="1">
      <c r="B15" s="134">
        <v>11</v>
      </c>
      <c r="C15" s="135" t="s">
        <v>70</v>
      </c>
      <c r="D15" s="134" t="str">
        <f>BOQ!AM8</f>
        <v>Nkinga Sector 0</v>
      </c>
      <c r="E15" s="136" t="str">
        <f>BOQ!AM7</f>
        <v>TZTB2352</v>
      </c>
      <c r="F15" s="108">
        <v>1</v>
      </c>
      <c r="G15" s="109">
        <f>BOQ!AM42</f>
        <v>5143567.4318015883</v>
      </c>
      <c r="H15" s="137">
        <f>BOQ!AM43</f>
        <v>412000</v>
      </c>
      <c r="I15" s="110">
        <f t="shared" si="0"/>
        <v>5555567.4318015883</v>
      </c>
      <c r="J15" s="141"/>
      <c r="K15" s="160"/>
    </row>
    <row r="16" spans="2:11" s="138" customFormat="1" ht="13.15" customHeight="1">
      <c r="B16" s="134">
        <v>12</v>
      </c>
      <c r="C16" s="135" t="s">
        <v>70</v>
      </c>
      <c r="D16" s="134" t="str">
        <f>BOQ!AP8</f>
        <v>Usongo Mission</v>
      </c>
      <c r="E16" s="136" t="str">
        <f>BOQ!AP7</f>
        <v>TZTB3253</v>
      </c>
      <c r="F16" s="108">
        <v>1</v>
      </c>
      <c r="G16" s="109">
        <f>BOQ!AP42</f>
        <v>10882796.506360883</v>
      </c>
      <c r="H16" s="137">
        <f>BOQ!AP43</f>
        <v>412000</v>
      </c>
      <c r="I16" s="110">
        <f t="shared" si="0"/>
        <v>11294796.506360883</v>
      </c>
      <c r="J16" s="141"/>
      <c r="K16" s="160"/>
    </row>
    <row r="17" spans="2:12" s="138" customFormat="1" ht="13.15" customHeight="1">
      <c r="B17" s="134">
        <v>13</v>
      </c>
      <c r="C17" s="135" t="s">
        <v>70</v>
      </c>
      <c r="D17" s="134" t="str">
        <f>BOQ!AS8</f>
        <v>Chanika Kitonga</v>
      </c>
      <c r="E17" s="136" t="str">
        <f>BOQ!AS7</f>
        <v>TZDA0495</v>
      </c>
      <c r="F17" s="108">
        <v>1</v>
      </c>
      <c r="G17" s="109">
        <f>BOQ!AS42</f>
        <v>5421931.6858665254</v>
      </c>
      <c r="H17" s="137">
        <f>BOQ!AS43</f>
        <v>347500</v>
      </c>
      <c r="I17" s="110">
        <f t="shared" si="0"/>
        <v>5769431.6858665254</v>
      </c>
      <c r="J17" s="141"/>
      <c r="K17" s="160"/>
    </row>
    <row r="18" spans="2:12" s="138" customFormat="1" ht="13.15" customHeight="1">
      <c r="B18" s="134">
        <v>14</v>
      </c>
      <c r="C18" s="135" t="s">
        <v>70</v>
      </c>
      <c r="D18" s="134" t="str">
        <f>BOQ!AV8</f>
        <v>Mavurunza G5</v>
      </c>
      <c r="E18" s="136" t="str">
        <f>BOQ!AV7</f>
        <v>TZDA0565</v>
      </c>
      <c r="F18" s="108">
        <v>1</v>
      </c>
      <c r="G18" s="109">
        <f>BOQ!AV42</f>
        <v>7465440.1580457715</v>
      </c>
      <c r="H18" s="137">
        <f>BOQ!AV43</f>
        <v>347500</v>
      </c>
      <c r="I18" s="110">
        <f t="shared" si="0"/>
        <v>7812940.1580457715</v>
      </c>
      <c r="J18" s="141"/>
      <c r="K18" s="160"/>
    </row>
    <row r="19" spans="2:12" s="138" customFormat="1" ht="13.15" customHeight="1">
      <c r="B19" s="134">
        <v>15</v>
      </c>
      <c r="C19" s="135" t="s">
        <v>70</v>
      </c>
      <c r="D19" s="134" t="str">
        <f>BOQ!AY8</f>
        <v>Kijitonyama</v>
      </c>
      <c r="E19" s="136" t="str">
        <f>BOQ!AY7</f>
        <v>TZDA1868</v>
      </c>
      <c r="F19" s="108">
        <v>1</v>
      </c>
      <c r="G19" s="109">
        <f>BOQ!AY42</f>
        <v>5524350.4983003866</v>
      </c>
      <c r="H19" s="137">
        <f>BOQ!AY43</f>
        <v>347500</v>
      </c>
      <c r="I19" s="110">
        <f t="shared" si="0"/>
        <v>5871850.4983003866</v>
      </c>
      <c r="J19" s="141"/>
      <c r="K19" s="160"/>
    </row>
    <row r="20" spans="2:12" s="138" customFormat="1" ht="13.15" customHeight="1">
      <c r="B20" s="134">
        <v>16</v>
      </c>
      <c r="C20" s="135" t="s">
        <v>70</v>
      </c>
      <c r="D20" s="134" t="str">
        <f>BOQ!BB8</f>
        <v>Wazo</v>
      </c>
      <c r="E20" s="136" t="str">
        <f>BOQ!BB7</f>
        <v>TZDA2939</v>
      </c>
      <c r="F20" s="108">
        <v>1</v>
      </c>
      <c r="G20" s="109">
        <f>BOQ!BB42</f>
        <v>11841915.500598473</v>
      </c>
      <c r="H20" s="137">
        <f>BOQ!BB43</f>
        <v>347500</v>
      </c>
      <c r="I20" s="110">
        <f t="shared" si="0"/>
        <v>12189415.500598473</v>
      </c>
      <c r="J20" s="141"/>
      <c r="K20" s="160"/>
    </row>
    <row r="21" spans="2:12" s="138" customFormat="1" ht="13.15" customHeight="1">
      <c r="B21" s="134"/>
      <c r="C21" s="135"/>
      <c r="D21" s="134"/>
      <c r="E21" s="136"/>
      <c r="F21" s="108"/>
      <c r="G21" s="109"/>
      <c r="H21" s="137"/>
      <c r="I21" s="110">
        <f t="shared" si="0"/>
        <v>0</v>
      </c>
      <c r="J21" s="141"/>
      <c r="K21" s="160"/>
    </row>
    <row r="22" spans="2:12" s="142" customFormat="1" ht="20.25" customHeight="1">
      <c r="G22" s="143">
        <f>SUM(G5:G21)</f>
        <v>110207809.93337084</v>
      </c>
      <c r="H22" s="144">
        <f>SUM(H5:H21)</f>
        <v>13305040</v>
      </c>
      <c r="I22" s="144">
        <f>SUM(I5:I21)</f>
        <v>123512849.93337084</v>
      </c>
      <c r="J22" s="145"/>
      <c r="K22" s="161"/>
      <c r="L22" s="146"/>
    </row>
    <row r="25" spans="2:12">
      <c r="I25" s="139"/>
    </row>
    <row r="26" spans="2:12">
      <c r="I26" s="139"/>
    </row>
  </sheetData>
  <autoFilter ref="B4:I4" xr:uid="{7EF2AE6C-2657-4F7E-85E4-E2B3EFF25A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Sussum</dc:creator>
  <cp:lastModifiedBy>Amani Mlali</cp:lastModifiedBy>
  <cp:lastPrinted>2024-04-11T07:57:48Z</cp:lastPrinted>
  <dcterms:created xsi:type="dcterms:W3CDTF">2017-05-15T16:35:52Z</dcterms:created>
  <dcterms:modified xsi:type="dcterms:W3CDTF">2026-06-09T13:54:02Z</dcterms:modified>
</cp:coreProperties>
</file>